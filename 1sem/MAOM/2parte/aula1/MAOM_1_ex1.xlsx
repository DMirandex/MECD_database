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inho365-my.sharepoint.com/personal/d1828_uminho_pt/Documents/Aulas/Ano Letivo 2025-2026/1s-MAOM (MECD 7,5hT+15hPL)/Slides/"/>
    </mc:Choice>
  </mc:AlternateContent>
  <xr:revisionPtr revIDLastSave="442" documentId="13_ncr:1_{57A85503-A103-6840-89A1-084A1C7D53C9}" xr6:coauthVersionLast="47" xr6:coauthVersionMax="47" xr10:uidLastSave="{36D07A00-D20E-1644-AA74-7C291B08B019}"/>
  <bookViews>
    <workbookView xWindow="0" yWindow="620" windowWidth="28800" windowHeight="15960" xr2:uid="{00000000-000D-0000-FFFF-FFFF00000000}"/>
  </bookViews>
  <sheets>
    <sheet name="a, b - Codificação Binário-Gray" sheetId="1" r:id="rId1"/>
    <sheet name="c, d, e, f - F. Aval. e Seleção" sheetId="4" r:id="rId2"/>
    <sheet name="g - Recombinação" sheetId="5" r:id="rId3"/>
    <sheet name="h - Mutação" sheetId="6" r:id="rId4"/>
  </sheets>
  <definedNames>
    <definedName name="_xlnm.Print_Area" localSheetId="0">'a, b - Codificação Binário-Gray'!$A$1:$S$37</definedName>
    <definedName name="_xlnm.Print_Area" localSheetId="1">'c, d, e, f - F. Aval. e Seleção'!$A$1:$X$22</definedName>
    <definedName name="_xlnm.Print_Area" localSheetId="2">'g - Recombinação'!$A$1:$O$82</definedName>
    <definedName name="_xlnm.Print_Area" localSheetId="3">'h - Mutação'!$A$1:$P$27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I4" i="1"/>
  <c r="H4" i="1"/>
  <c r="G4" i="1"/>
  <c r="F4" i="1"/>
  <c r="F3" i="1"/>
  <c r="I11" i="1" l="1"/>
  <c r="I10" i="1"/>
  <c r="I9" i="1"/>
  <c r="I7" i="1"/>
  <c r="I8" i="1"/>
  <c r="H7" i="1"/>
  <c r="H10" i="1"/>
  <c r="H9" i="1"/>
  <c r="H8" i="1"/>
  <c r="H11" i="1"/>
  <c r="G11" i="1"/>
  <c r="G8" i="1"/>
  <c r="G10" i="1"/>
  <c r="G9" i="1"/>
  <c r="G7" i="1"/>
  <c r="F11" i="1"/>
  <c r="J11" i="1" s="1"/>
  <c r="F10" i="1"/>
  <c r="J10" i="1" s="1"/>
  <c r="F7" i="1"/>
  <c r="F9" i="1"/>
  <c r="J9" i="1" s="1"/>
  <c r="F8" i="1"/>
  <c r="J8" i="1" s="1"/>
  <c r="M7" i="1" l="1"/>
  <c r="K10" i="1"/>
  <c r="M10" i="1"/>
  <c r="M9" i="1"/>
  <c r="M11" i="1"/>
  <c r="K9" i="1"/>
  <c r="M8" i="1"/>
  <c r="L7" i="1"/>
  <c r="K8" i="1"/>
  <c r="L10" i="1"/>
  <c r="L9" i="1"/>
  <c r="L8" i="1"/>
  <c r="L11" i="1"/>
  <c r="K11" i="1"/>
  <c r="O34" i="1"/>
  <c r="G17" i="1"/>
  <c r="H17" i="1"/>
  <c r="I17" i="1"/>
  <c r="F17" i="1"/>
  <c r="Q33" i="1"/>
  <c r="Q32" i="1"/>
  <c r="G29" i="1"/>
  <c r="G33" i="1" s="1"/>
  <c r="H29" i="1"/>
  <c r="H33" i="1" s="1"/>
  <c r="I29" i="1"/>
  <c r="I32" i="1" s="1"/>
  <c r="F29" i="1"/>
  <c r="F33" i="1" s="1"/>
  <c r="K33" i="1" s="1"/>
  <c r="F28" i="1"/>
  <c r="R32" i="1" s="1"/>
  <c r="S32" i="1" s="1"/>
  <c r="F16" i="1"/>
  <c r="E20" i="1" s="1"/>
  <c r="O23" i="1"/>
  <c r="N23" i="1"/>
  <c r="M23" i="1"/>
  <c r="L23" i="1"/>
  <c r="K23" i="1"/>
  <c r="K26" i="1"/>
  <c r="L26" i="1" s="1"/>
  <c r="M26" i="1" s="1"/>
  <c r="N26" i="1" s="1"/>
  <c r="N11" i="4"/>
  <c r="K11" i="4"/>
  <c r="O8" i="6"/>
  <c r="N8" i="6"/>
  <c r="M11" i="6"/>
  <c r="F11" i="6"/>
  <c r="M24" i="6"/>
  <c r="F24" i="6"/>
  <c r="G24" i="6" s="1"/>
  <c r="H24" i="6" s="1"/>
  <c r="I24" i="6" s="1"/>
  <c r="M26" i="6"/>
  <c r="M23" i="6"/>
  <c r="M25" i="6"/>
  <c r="M22" i="6"/>
  <c r="M17" i="6"/>
  <c r="M18" i="6"/>
  <c r="M19" i="6"/>
  <c r="M20" i="6"/>
  <c r="M21" i="6"/>
  <c r="M13" i="6"/>
  <c r="M14" i="6"/>
  <c r="M15" i="6"/>
  <c r="M12" i="6"/>
  <c r="M16" i="6"/>
  <c r="F26" i="6"/>
  <c r="G26" i="6" s="1"/>
  <c r="H26" i="6" s="1"/>
  <c r="I26" i="6" s="1"/>
  <c r="F25" i="6"/>
  <c r="G25" i="6" s="1"/>
  <c r="H25" i="6" s="1"/>
  <c r="I25" i="6" s="1"/>
  <c r="F22" i="6"/>
  <c r="G22" i="6" s="1"/>
  <c r="H22" i="6" s="1"/>
  <c r="I22" i="6" s="1"/>
  <c r="F23" i="6"/>
  <c r="G23" i="6" s="1"/>
  <c r="H23" i="6" s="1"/>
  <c r="I23" i="6" s="1"/>
  <c r="F21" i="6"/>
  <c r="F20" i="6"/>
  <c r="F19" i="6"/>
  <c r="G19" i="6" s="1"/>
  <c r="H19" i="6" s="1"/>
  <c r="I19" i="6" s="1"/>
  <c r="F18" i="6"/>
  <c r="G18" i="6" s="1"/>
  <c r="H18" i="6" s="1"/>
  <c r="I18" i="6" s="1"/>
  <c r="F17" i="6"/>
  <c r="G17" i="6" s="1"/>
  <c r="H17" i="6" s="1"/>
  <c r="I17" i="6" s="1"/>
  <c r="F16" i="6"/>
  <c r="G16" i="6" s="1"/>
  <c r="H16" i="6" s="1"/>
  <c r="I16" i="6" s="1"/>
  <c r="F15" i="6"/>
  <c r="F14" i="6"/>
  <c r="G14" i="6" s="1"/>
  <c r="H14" i="6" s="1"/>
  <c r="I14" i="6" s="1"/>
  <c r="F13" i="6"/>
  <c r="G13" i="6" s="1"/>
  <c r="H13" i="6" s="1"/>
  <c r="I13" i="6" s="1"/>
  <c r="F12" i="6"/>
  <c r="G12" i="6" s="1"/>
  <c r="H12" i="6" s="1"/>
  <c r="I12" i="6" s="1"/>
  <c r="F6" i="6"/>
  <c r="G6" i="6" s="1"/>
  <c r="H6" i="6" s="1"/>
  <c r="I6" i="6" s="1"/>
  <c r="F80" i="5"/>
  <c r="G80" i="5" s="1"/>
  <c r="H80" i="5" s="1"/>
  <c r="I80" i="5" s="1"/>
  <c r="F79" i="5"/>
  <c r="G79" i="5" s="1"/>
  <c r="H79" i="5" s="1"/>
  <c r="I79" i="5" s="1"/>
  <c r="F77" i="5"/>
  <c r="G77" i="5" s="1"/>
  <c r="H77" i="5" s="1"/>
  <c r="I77" i="5" s="1"/>
  <c r="F76" i="5"/>
  <c r="G76" i="5" s="1"/>
  <c r="H76" i="5" s="1"/>
  <c r="I76" i="5" s="1"/>
  <c r="F74" i="5"/>
  <c r="G74" i="5" s="1"/>
  <c r="H74" i="5" s="1"/>
  <c r="I74" i="5" s="1"/>
  <c r="F73" i="5"/>
  <c r="G73" i="5" s="1"/>
  <c r="H73" i="5" s="1"/>
  <c r="I73" i="5" s="1"/>
  <c r="F71" i="5"/>
  <c r="G71" i="5" s="1"/>
  <c r="H71" i="5" s="1"/>
  <c r="I71" i="5" s="1"/>
  <c r="F70" i="5"/>
  <c r="G70" i="5" s="1"/>
  <c r="H70" i="5" s="1"/>
  <c r="I70" i="5" s="1"/>
  <c r="F68" i="5"/>
  <c r="G68" i="5" s="1"/>
  <c r="H68" i="5" s="1"/>
  <c r="I68" i="5" s="1"/>
  <c r="F67" i="5"/>
  <c r="G67" i="5" s="1"/>
  <c r="H67" i="5" s="1"/>
  <c r="I67" i="5" s="1"/>
  <c r="F65" i="5"/>
  <c r="G65" i="5" s="1"/>
  <c r="H65" i="5" s="1"/>
  <c r="I65" i="5" s="1"/>
  <c r="F64" i="5"/>
  <c r="G64" i="5" s="1"/>
  <c r="H64" i="5" s="1"/>
  <c r="I64" i="5" s="1"/>
  <c r="F62" i="5"/>
  <c r="G62" i="5" s="1"/>
  <c r="H62" i="5" s="1"/>
  <c r="I62" i="5" s="1"/>
  <c r="F61" i="5"/>
  <c r="G61" i="5" s="1"/>
  <c r="H61" i="5" s="1"/>
  <c r="I61" i="5" s="1"/>
  <c r="F59" i="5"/>
  <c r="G59" i="5" s="1"/>
  <c r="H59" i="5" s="1"/>
  <c r="I59" i="5" s="1"/>
  <c r="F58" i="5"/>
  <c r="G58" i="5" s="1"/>
  <c r="H58" i="5" s="1"/>
  <c r="I58" i="5" s="1"/>
  <c r="F34" i="5"/>
  <c r="G34" i="5" s="1"/>
  <c r="H34" i="5" s="1"/>
  <c r="I34" i="5" s="1"/>
  <c r="F35" i="5"/>
  <c r="G35" i="5" s="1"/>
  <c r="H35" i="5" s="1"/>
  <c r="I35" i="5" s="1"/>
  <c r="F37" i="5"/>
  <c r="G37" i="5" s="1"/>
  <c r="H37" i="5" s="1"/>
  <c r="I37" i="5" s="1"/>
  <c r="F38" i="5"/>
  <c r="G38" i="5" s="1"/>
  <c r="H38" i="5" s="1"/>
  <c r="I38" i="5" s="1"/>
  <c r="F40" i="5"/>
  <c r="G40" i="5" s="1"/>
  <c r="H40" i="5" s="1"/>
  <c r="I40" i="5" s="1"/>
  <c r="F41" i="5"/>
  <c r="G41" i="5" s="1"/>
  <c r="H41" i="5" s="1"/>
  <c r="I41" i="5" s="1"/>
  <c r="F43" i="5"/>
  <c r="G43" i="5" s="1"/>
  <c r="H43" i="5" s="1"/>
  <c r="I43" i="5" s="1"/>
  <c r="F44" i="5"/>
  <c r="G44" i="5" s="1"/>
  <c r="H44" i="5" s="1"/>
  <c r="I44" i="5" s="1"/>
  <c r="F46" i="5"/>
  <c r="G46" i="5" s="1"/>
  <c r="H46" i="5" s="1"/>
  <c r="I46" i="5" s="1"/>
  <c r="F47" i="5"/>
  <c r="G47" i="5" s="1"/>
  <c r="H47" i="5" s="1"/>
  <c r="I47" i="5" s="1"/>
  <c r="F49" i="5"/>
  <c r="G49" i="5" s="1"/>
  <c r="H49" i="5" s="1"/>
  <c r="I49" i="5" s="1"/>
  <c r="F50" i="5"/>
  <c r="G50" i="5" s="1"/>
  <c r="H50" i="5" s="1"/>
  <c r="I50" i="5" s="1"/>
  <c r="F52" i="5"/>
  <c r="G52" i="5" s="1"/>
  <c r="H52" i="5" s="1"/>
  <c r="I52" i="5" s="1"/>
  <c r="F53" i="5"/>
  <c r="G53" i="5" s="1"/>
  <c r="H53" i="5" s="1"/>
  <c r="I53" i="5" s="1"/>
  <c r="F55" i="5"/>
  <c r="G55" i="5" s="1"/>
  <c r="H55" i="5" s="1"/>
  <c r="I55" i="5" s="1"/>
  <c r="F56" i="5"/>
  <c r="G56" i="5" s="1"/>
  <c r="H56" i="5" s="1"/>
  <c r="I56" i="5" s="1"/>
  <c r="F28" i="5"/>
  <c r="G28" i="5" s="1"/>
  <c r="H28" i="5" s="1"/>
  <c r="I28" i="5" s="1"/>
  <c r="F27" i="5"/>
  <c r="G27" i="5" s="1"/>
  <c r="H27" i="5" s="1"/>
  <c r="I27" i="5" s="1"/>
  <c r="F26" i="5"/>
  <c r="G26" i="5" s="1"/>
  <c r="H26" i="5" s="1"/>
  <c r="I26" i="5" s="1"/>
  <c r="F25" i="5"/>
  <c r="G25" i="5" s="1"/>
  <c r="H25" i="5" s="1"/>
  <c r="I25" i="5" s="1"/>
  <c r="F24" i="5"/>
  <c r="G24" i="5" s="1"/>
  <c r="H24" i="5" s="1"/>
  <c r="I24" i="5" s="1"/>
  <c r="F23" i="5"/>
  <c r="G23" i="5" s="1"/>
  <c r="H23" i="5" s="1"/>
  <c r="I23" i="5" s="1"/>
  <c r="F13" i="5"/>
  <c r="G13" i="5" s="1"/>
  <c r="H13" i="5" s="1"/>
  <c r="I13" i="5" s="1"/>
  <c r="F14" i="5"/>
  <c r="G14" i="5" s="1"/>
  <c r="H14" i="5" s="1"/>
  <c r="F15" i="5"/>
  <c r="G15" i="5" s="1"/>
  <c r="H15" i="5" s="1"/>
  <c r="I15" i="5" s="1"/>
  <c r="F16" i="5"/>
  <c r="G16" i="5" s="1"/>
  <c r="H16" i="5" s="1"/>
  <c r="F17" i="5"/>
  <c r="G17" i="5" s="1"/>
  <c r="H17" i="5" s="1"/>
  <c r="I17" i="5" s="1"/>
  <c r="F12" i="5"/>
  <c r="G12" i="5" s="1"/>
  <c r="H12" i="5" s="1"/>
  <c r="I12" i="5" s="1"/>
  <c r="J7" i="5"/>
  <c r="K7" i="5" s="1"/>
  <c r="P7" i="4"/>
  <c r="P9" i="4"/>
  <c r="P6" i="4"/>
  <c r="P8" i="4"/>
  <c r="M7" i="4"/>
  <c r="M9" i="4"/>
  <c r="M6" i="4"/>
  <c r="M8" i="4"/>
  <c r="P10" i="4"/>
  <c r="M10" i="4"/>
  <c r="O7" i="4"/>
  <c r="O9" i="4"/>
  <c r="O6" i="4"/>
  <c r="O8" i="4"/>
  <c r="O10" i="4"/>
  <c r="L7" i="4"/>
  <c r="L9" i="4"/>
  <c r="L6" i="4"/>
  <c r="L8" i="4"/>
  <c r="L10" i="4"/>
  <c r="D11" i="4"/>
  <c r="H7" i="4" s="1"/>
  <c r="C8" i="4"/>
  <c r="C7" i="4"/>
  <c r="C9" i="4"/>
  <c r="C6" i="4"/>
  <c r="C10" i="4"/>
  <c r="C34" i="1"/>
  <c r="M27" i="6" l="1"/>
  <c r="G20" i="1"/>
  <c r="I20" i="1"/>
  <c r="F20" i="1"/>
  <c r="K20" i="1" s="1"/>
  <c r="H20" i="1"/>
  <c r="O26" i="1"/>
  <c r="Q34" i="1"/>
  <c r="G11" i="6"/>
  <c r="H11" i="6" s="1"/>
  <c r="I11" i="6" s="1"/>
  <c r="J24" i="6"/>
  <c r="K24" i="6" s="1"/>
  <c r="J25" i="6"/>
  <c r="K25" i="6" s="1"/>
  <c r="J26" i="6"/>
  <c r="K26" i="6" s="1"/>
  <c r="J23" i="6"/>
  <c r="K23" i="6" s="1"/>
  <c r="J22" i="6"/>
  <c r="G20" i="6"/>
  <c r="H20" i="6" s="1"/>
  <c r="I20" i="6" s="1"/>
  <c r="G21" i="6"/>
  <c r="H21" i="6" s="1"/>
  <c r="I21" i="6" s="1"/>
  <c r="J16" i="6"/>
  <c r="K16" i="6" s="1"/>
  <c r="J17" i="6"/>
  <c r="K17" i="6" s="1"/>
  <c r="J18" i="6"/>
  <c r="K18" i="6" s="1"/>
  <c r="J19" i="6"/>
  <c r="K19" i="6" s="1"/>
  <c r="J14" i="6"/>
  <c r="K14" i="6" s="1"/>
  <c r="J13" i="6"/>
  <c r="K13" i="6" s="1"/>
  <c r="G15" i="6"/>
  <c r="H15" i="6" s="1"/>
  <c r="I15" i="6" s="1"/>
  <c r="J15" i="6" s="1"/>
  <c r="K15" i="6" s="1"/>
  <c r="J12" i="6"/>
  <c r="K12" i="6" s="1"/>
  <c r="J6" i="6"/>
  <c r="J58" i="5"/>
  <c r="K58" i="5" s="1"/>
  <c r="J59" i="5"/>
  <c r="K59" i="5" s="1"/>
  <c r="J61" i="5"/>
  <c r="K61" i="5" s="1"/>
  <c r="J62" i="5"/>
  <c r="K62" i="5" s="1"/>
  <c r="J64" i="5"/>
  <c r="K64" i="5" s="1"/>
  <c r="J65" i="5"/>
  <c r="K65" i="5" s="1"/>
  <c r="J67" i="5"/>
  <c r="K67" i="5" s="1"/>
  <c r="J68" i="5"/>
  <c r="K68" i="5" s="1"/>
  <c r="J70" i="5"/>
  <c r="K70" i="5" s="1"/>
  <c r="J71" i="5"/>
  <c r="K71" i="5" s="1"/>
  <c r="J73" i="5"/>
  <c r="K73" i="5" s="1"/>
  <c r="J74" i="5"/>
  <c r="K74" i="5" s="1"/>
  <c r="J76" i="5"/>
  <c r="K76" i="5" s="1"/>
  <c r="J77" i="5"/>
  <c r="K77" i="5" s="1"/>
  <c r="J79" i="5"/>
  <c r="K79" i="5" s="1"/>
  <c r="J80" i="5"/>
  <c r="K80" i="5" s="1"/>
  <c r="J56" i="5"/>
  <c r="K56" i="5" s="1"/>
  <c r="J55" i="5"/>
  <c r="K55" i="5" s="1"/>
  <c r="J53" i="5"/>
  <c r="K53" i="5" s="1"/>
  <c r="J52" i="5"/>
  <c r="K52" i="5" s="1"/>
  <c r="J50" i="5"/>
  <c r="K50" i="5" s="1"/>
  <c r="J49" i="5"/>
  <c r="K49" i="5" s="1"/>
  <c r="J47" i="5"/>
  <c r="K47" i="5" s="1"/>
  <c r="J46" i="5"/>
  <c r="K46" i="5" s="1"/>
  <c r="J44" i="5"/>
  <c r="K44" i="5" s="1"/>
  <c r="J43" i="5"/>
  <c r="K43" i="5" s="1"/>
  <c r="J41" i="5"/>
  <c r="K41" i="5" s="1"/>
  <c r="J40" i="5"/>
  <c r="K40" i="5" s="1"/>
  <c r="J38" i="5"/>
  <c r="K38" i="5" s="1"/>
  <c r="J37" i="5"/>
  <c r="K37" i="5" s="1"/>
  <c r="J35" i="5"/>
  <c r="K35" i="5" s="1"/>
  <c r="J34" i="5"/>
  <c r="K34" i="5" s="1"/>
  <c r="J27" i="5"/>
  <c r="K27" i="5" s="1"/>
  <c r="J28" i="5"/>
  <c r="K28" i="5" s="1"/>
  <c r="J25" i="5"/>
  <c r="K25" i="5" s="1"/>
  <c r="J26" i="5"/>
  <c r="K26" i="5" s="1"/>
  <c r="J24" i="5"/>
  <c r="K24" i="5" s="1"/>
  <c r="J23" i="5"/>
  <c r="K23" i="5" s="1"/>
  <c r="I14" i="5"/>
  <c r="J14" i="5" s="1"/>
  <c r="K14" i="5" s="1"/>
  <c r="I16" i="5"/>
  <c r="J16" i="5" s="1"/>
  <c r="K16" i="5" s="1"/>
  <c r="J13" i="5"/>
  <c r="K13" i="5" s="1"/>
  <c r="J15" i="5"/>
  <c r="K15" i="5" s="1"/>
  <c r="J17" i="5"/>
  <c r="K17" i="5" s="1"/>
  <c r="H9" i="4"/>
  <c r="J9" i="4" s="1"/>
  <c r="H8" i="4"/>
  <c r="J8" i="4" s="1"/>
  <c r="C11" i="4"/>
  <c r="E6" i="4" s="1"/>
  <c r="J7" i="4"/>
  <c r="I7" i="4"/>
  <c r="H10" i="4"/>
  <c r="H6" i="4"/>
  <c r="E32" i="1"/>
  <c r="M33" i="1"/>
  <c r="I33" i="1"/>
  <c r="I34" i="1" s="1"/>
  <c r="L33" i="1"/>
  <c r="F32" i="1"/>
  <c r="H32" i="1"/>
  <c r="G32" i="1"/>
  <c r="G34" i="1" s="1"/>
  <c r="H11" i="4" l="1"/>
  <c r="L29" i="5"/>
  <c r="K6" i="6"/>
  <c r="K22" i="6"/>
  <c r="I9" i="4"/>
  <c r="L82" i="5"/>
  <c r="O20" i="1"/>
  <c r="L20" i="1"/>
  <c r="M20" i="1"/>
  <c r="N20" i="1"/>
  <c r="J11" i="6"/>
  <c r="K11" i="6" s="1"/>
  <c r="J21" i="6"/>
  <c r="K21" i="6" s="1"/>
  <c r="J20" i="6"/>
  <c r="K20" i="6" s="1"/>
  <c r="K29" i="5"/>
  <c r="K82" i="5"/>
  <c r="E8" i="4"/>
  <c r="G8" i="4" s="1"/>
  <c r="I8" i="4"/>
  <c r="E10" i="4"/>
  <c r="G6" i="4"/>
  <c r="F6" i="4"/>
  <c r="J6" i="4"/>
  <c r="I6" i="4"/>
  <c r="J10" i="4"/>
  <c r="I10" i="4"/>
  <c r="E9" i="4"/>
  <c r="E7" i="4"/>
  <c r="L32" i="1"/>
  <c r="L34" i="1" s="1"/>
  <c r="K32" i="1"/>
  <c r="K34" i="1" s="1"/>
  <c r="N33" i="1"/>
  <c r="M32" i="1"/>
  <c r="M34" i="1" s="1"/>
  <c r="H34" i="1"/>
  <c r="F34" i="1"/>
  <c r="N32" i="1"/>
  <c r="N34" i="1" l="1"/>
  <c r="K35" i="1" s="1"/>
  <c r="F35" i="1"/>
  <c r="G10" i="4"/>
  <c r="E11" i="4"/>
  <c r="F8" i="4"/>
  <c r="F10" i="4"/>
  <c r="G9" i="4"/>
  <c r="F9" i="4"/>
  <c r="G7" i="4"/>
  <c r="F7" i="4"/>
  <c r="J12" i="5"/>
  <c r="K12" i="5" s="1"/>
  <c r="L18" i="5" s="1"/>
  <c r="F6" i="5"/>
  <c r="G6" i="5" s="1"/>
  <c r="K18" i="5" l="1"/>
  <c r="H6" i="5"/>
  <c r="I6" i="5" s="1"/>
  <c r="J6" i="5" l="1"/>
  <c r="K6" i="5" s="1"/>
  <c r="K7" i="1"/>
  <c r="J7" i="1"/>
</calcChain>
</file>

<file path=xl/sharedStrings.xml><?xml version="1.0" encoding="utf-8"?>
<sst xmlns="http://schemas.openxmlformats.org/spreadsheetml/2006/main" count="200" uniqueCount="103">
  <si>
    <t>L</t>
  </si>
  <si>
    <t>Gray</t>
  </si>
  <si>
    <t>alfa</t>
  </si>
  <si>
    <t>beta</t>
  </si>
  <si>
    <t>Locus</t>
  </si>
  <si>
    <t>Binário</t>
  </si>
  <si>
    <t>Decimal</t>
  </si>
  <si>
    <t>Limites da Variável</t>
  </si>
  <si>
    <t>x</t>
  </si>
  <si>
    <t>2^L</t>
  </si>
  <si>
    <t>2^L-1</t>
  </si>
  <si>
    <t>&lt;=</t>
  </si>
  <si>
    <t>Valor (2^Locus)</t>
  </si>
  <si>
    <t>Distância Hamming</t>
  </si>
  <si>
    <t>Distância</t>
  </si>
  <si>
    <t>A</t>
  </si>
  <si>
    <t>B</t>
  </si>
  <si>
    <t>C</t>
  </si>
  <si>
    <t>D</t>
  </si>
  <si>
    <t>E</t>
  </si>
  <si>
    <t>R-W_f</t>
  </si>
  <si>
    <t>R-W_r</t>
  </si>
  <si>
    <t>E(x)</t>
  </si>
  <si>
    <t>V(x)</t>
  </si>
  <si>
    <t>F(x)=f(x)</t>
  </si>
  <si>
    <t>F(x)=Rank</t>
  </si>
  <si>
    <t>F(x)=f(x) e Sel. Roleta</t>
  </si>
  <si>
    <t>F(x)=Rank e Sel. Roleta</t>
  </si>
  <si>
    <t>Torn_2</t>
  </si>
  <si>
    <t>Torn_3</t>
  </si>
  <si>
    <t>F(x) e Sel. Torneio (2 ind.)</t>
  </si>
  <si>
    <t>F(x) e Sel. Torneio (3 ind.)</t>
  </si>
  <si>
    <t>alfa&lt;=x&lt;=beta</t>
  </si>
  <si>
    <t>1 e 2</t>
  </si>
  <si>
    <t>1 e 3</t>
  </si>
  <si>
    <t>2 e 3</t>
  </si>
  <si>
    <t>L=4</t>
  </si>
  <si>
    <t>Média</t>
  </si>
  <si>
    <t>Probabilidade</t>
  </si>
  <si>
    <t>1 e 4</t>
  </si>
  <si>
    <t>2 e 4</t>
  </si>
  <si>
    <t>3 e 4</t>
  </si>
  <si>
    <t>1,2 e 3</t>
  </si>
  <si>
    <t>1,2 e 4</t>
  </si>
  <si>
    <t>2,3 e 4</t>
  </si>
  <si>
    <t>1,2,3 e 4</t>
  </si>
  <si>
    <t>(p_mut)^4</t>
  </si>
  <si>
    <t>p_mut</t>
  </si>
  <si>
    <t>(p_mut)^2*(1-p_mut)^2</t>
  </si>
  <si>
    <t>(p_mut)^3*(1-p_mut)</t>
  </si>
  <si>
    <t>(p_mut)*(1-p_mut)^3</t>
  </si>
  <si>
    <t>1,3 e 4</t>
  </si>
  <si>
    <t>nenhuma</t>
  </si>
  <si>
    <t>(1-p_mut)^4</t>
  </si>
  <si>
    <t>Variável</t>
  </si>
  <si>
    <t>Erro</t>
  </si>
  <si>
    <t>Valor esperado (média da distribuição)</t>
  </si>
  <si>
    <t>Variância da distribuição</t>
  </si>
  <si>
    <t>=&gt;</t>
  </si>
  <si>
    <t>B={0,1}</t>
  </si>
  <si>
    <t>XOR:</t>
  </si>
  <si>
    <t>:Sel. Pressure</t>
  </si>
  <si>
    <t>a.</t>
  </si>
  <si>
    <t>b.</t>
  </si>
  <si>
    <t>Conversão de inteiro decimal para código binário padrão e código gray (slides 18 e 20)</t>
  </si>
  <si>
    <t>Conversão de código gray para código binário padrão e inteiro decimal (slide 21)</t>
  </si>
  <si>
    <t>Conversão de código binário padrão para código gray e inteiro decimal (slide 19)</t>
  </si>
  <si>
    <t>Conversão de inteiro decimal para código binário padrão e código gray com cálculo de distância de hamming (slide 22) e mapeamento em valores reais (slide 23)</t>
  </si>
  <si>
    <t>Rotinas auxiliares</t>
  </si>
  <si>
    <t>R:</t>
  </si>
  <si>
    <t>delta_x</t>
  </si>
  <si>
    <t>função de avaliação proporcional simples</t>
  </si>
  <si>
    <t>função de avaliação baseada em ranking linear</t>
  </si>
  <si>
    <t>Legenda</t>
  </si>
  <si>
    <t>probabilidades dos indivíduos serem selecionados usando seleção por roleta com função de avaliação proporcional simples</t>
  </si>
  <si>
    <t>probabilidades dos indivíduos serem selecionados usando seleção por roleta com função de avaliação baseada em ranking linear</t>
  </si>
  <si>
    <t>probabilidades dos indivíduos serem selecionados usando seleção por torneio (2 indivíduos)</t>
  </si>
  <si>
    <t>probabilidades dos indivíduos serem selecionados usando seleção por torneio (3 indivíduos)</t>
  </si>
  <si>
    <t>Função de avaliação</t>
  </si>
  <si>
    <t>c. (slides 26 e 27)</t>
  </si>
  <si>
    <t>d. (slide 30)</t>
  </si>
  <si>
    <t>R: a pressão de seleção de R-W_f é superior à de R-W_r</t>
  </si>
  <si>
    <t>e. (slides 26 e 29)</t>
  </si>
  <si>
    <t>f. (slide 30)</t>
  </si>
  <si>
    <t>R: a pressão de seleção aumenta com o número de indivíduos que participam no torneio</t>
  </si>
  <si>
    <t>g.</t>
  </si>
  <si>
    <t xml:space="preserve">R: o número de "1" nos descendentes mantém-se igual ao dos progenitores para qualquer operador de cruzamento </t>
  </si>
  <si>
    <t>Crossover 1 ponto (slide 31)</t>
  </si>
  <si>
    <t>Os progenitores são recombinados com base em dois pontos de crossover distintos gerados aleatoriamente entre 1 e L-1 (uma das 3 situações seguintes ocorre)</t>
  </si>
  <si>
    <t>Os progenitores são recombinados com base num ponto de crossover gerado aleatoriamente entre 1 e L-1 (uma das 3 situações seguintes ocorre)</t>
  </si>
  <si>
    <t>Crossover 2 pontos (slide 32)</t>
  </si>
  <si>
    <t>ponto</t>
  </si>
  <si>
    <t>pontos</t>
  </si>
  <si>
    <t>Os progenitores são recombinados com base numa máscara binária de tamanho L gerada aleatoriamente (uma de 16 situações seguintes ocorre)</t>
  </si>
  <si>
    <t>Crossover Uniforme ou Disperso (slide 32)</t>
  </si>
  <si>
    <t>Progenitores</t>
  </si>
  <si>
    <t>Descendentes</t>
  </si>
  <si>
    <t>máscara</t>
  </si>
  <si>
    <t>h.</t>
  </si>
  <si>
    <t>Mutação uniforme aplicada com p_mut (slide 35)</t>
  </si>
  <si>
    <t>Para cada posição é gerado um valor aleatório e se for &lt; p_mut ocorre mutação no ponto (uma das 16 situações seguintes ocorre)</t>
  </si>
  <si>
    <t>Cálculo do número esperado de bits mutados</t>
  </si>
  <si>
    <t>R: o número esperado de bits mutados será 1 para p_mut=1/L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</si>
</sst>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6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8" xfId="1" applyFont="1" applyBorder="1" applyAlignment="1">
      <alignment horizontal="center"/>
    </xf>
    <xf numFmtId="164" fontId="0" fillId="0" borderId="9" xfId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0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5" borderId="12" xfId="0" applyNumberFormat="1" applyFont="1" applyFill="1" applyBorder="1" applyAlignment="1">
      <alignment horizontal="center"/>
    </xf>
    <xf numFmtId="166" fontId="2" fillId="5" borderId="10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0" fillId="0" borderId="3" xfId="1" applyFont="1" applyBorder="1" applyAlignment="1">
      <alignment horizontal="center"/>
    </xf>
    <xf numFmtId="164" fontId="0" fillId="0" borderId="4" xfId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2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0" borderId="7" xfId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0" fillId="0" borderId="6" xfId="1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0" fillId="0" borderId="0" xfId="1" applyFont="1" applyFill="1" applyBorder="1" applyAlignment="1">
      <alignment horizontal="left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3" fillId="0" borderId="0" xfId="0" applyFont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5" fillId="8" borderId="0" xfId="0" applyFont="1" applyFill="1"/>
    <xf numFmtId="0" fontId="6" fillId="0" borderId="0" xfId="0" applyFont="1"/>
    <xf numFmtId="0" fontId="7" fillId="0" borderId="0" xfId="0" applyFont="1"/>
    <xf numFmtId="164" fontId="2" fillId="0" borderId="0" xfId="1" applyFont="1" applyFill="1" applyBorder="1" applyAlignment="1">
      <alignment horizontal="center"/>
    </xf>
    <xf numFmtId="164" fontId="0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pt-PT" sz="1200"/>
              <a:t>Probabilidades de</a:t>
            </a:r>
            <a:r>
              <a:rPr lang="pt-PT" sz="1200" baseline="0"/>
              <a:t> seleção dos indivíduos</a:t>
            </a:r>
            <a:endParaRPr lang="pt-PT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'c, d, e, f - F. Aval. e Seleção'!$A$6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'c, d, e, f - F. Aval. e Seleção'!$A$17:$A$20</c:f>
              <c:strCache>
                <c:ptCount val="4"/>
                <c:pt idx="0">
                  <c:v>R-W_f</c:v>
                </c:pt>
                <c:pt idx="1">
                  <c:v>R-W_r</c:v>
                </c:pt>
                <c:pt idx="2">
                  <c:v>Torn_2</c:v>
                </c:pt>
                <c:pt idx="3">
                  <c:v>Torn_3</c:v>
                </c:pt>
              </c:strCache>
            </c:strRef>
          </c:cat>
          <c:val>
            <c:numRef>
              <c:f>('c, d, e, f - F. Aval. e Seleção'!$E$6,'c, d, e, f - F. Aval. e Seleção'!$H$6,'c, d, e, f - F. Aval. e Seleção'!$K$6,'c, d, e, f - F. Aval. e Seleção'!$N$6)</c:f>
              <c:numCache>
                <c:formatCode>0.00</c:formatCode>
                <c:ptCount val="4"/>
                <c:pt idx="0" formatCode="_-* #\ ##0.00\ _€_-;\-* #\ ##0.00\ _€_-;_-* &quot;-&quot;??\ _€_-;_-@_-">
                  <c:v>1.9189765458422176E-2</c:v>
                </c:pt>
                <c:pt idx="1">
                  <c:v>6.6666666666666666E-2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0-9A41-9CBC-44EB9A1CA7F7}"/>
            </c:ext>
          </c:extLst>
        </c:ser>
        <c:ser>
          <c:idx val="1"/>
          <c:order val="1"/>
          <c:tx>
            <c:strRef>
              <c:f>'c, d, e, f - F. Aval. e Seleção'!$A$7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'c, d, e, f - F. Aval. e Seleção'!$A$17:$A$20</c:f>
              <c:strCache>
                <c:ptCount val="4"/>
                <c:pt idx="0">
                  <c:v>R-W_f</c:v>
                </c:pt>
                <c:pt idx="1">
                  <c:v>R-W_r</c:v>
                </c:pt>
                <c:pt idx="2">
                  <c:v>Torn_2</c:v>
                </c:pt>
                <c:pt idx="3">
                  <c:v>Torn_3</c:v>
                </c:pt>
              </c:strCache>
            </c:strRef>
          </c:cat>
          <c:val>
            <c:numRef>
              <c:f>('c, d, e, f - F. Aval. e Seleção'!$E$7,'c, d, e, f - F. Aval. e Seleção'!$H$7,'c, d, e, f - F. Aval. e Seleção'!$K$7,'c, d, e, f - F. Aval. e Seleção'!$N$7)</c:f>
              <c:numCache>
                <c:formatCode>0.00</c:formatCode>
                <c:ptCount val="4"/>
                <c:pt idx="0" formatCode="_-* #\ ##0.00\ _€_-;\-* #\ ##0.00\ _€_-;_-* &quot;-&quot;??\ _€_-;_-@_-">
                  <c:v>0.1044776119402985</c:v>
                </c:pt>
                <c:pt idx="1">
                  <c:v>0.13333333333333333</c:v>
                </c:pt>
                <c:pt idx="2" formatCode="General">
                  <c:v>0.1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0-9A41-9CBC-44EB9A1CA7F7}"/>
            </c:ext>
          </c:extLst>
        </c:ser>
        <c:ser>
          <c:idx val="2"/>
          <c:order val="2"/>
          <c:tx>
            <c:strRef>
              <c:f>'c, d, e, f - F. Aval. e Seleção'!$A$8</c:f>
              <c:strCache>
                <c:ptCount val="1"/>
                <c:pt idx="0">
                  <c:v>C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'c, d, e, f - F. Aval. e Seleção'!$A$17:$A$20</c:f>
              <c:strCache>
                <c:ptCount val="4"/>
                <c:pt idx="0">
                  <c:v>R-W_f</c:v>
                </c:pt>
                <c:pt idx="1">
                  <c:v>R-W_r</c:v>
                </c:pt>
                <c:pt idx="2">
                  <c:v>Torn_2</c:v>
                </c:pt>
                <c:pt idx="3">
                  <c:v>Torn_3</c:v>
                </c:pt>
              </c:strCache>
            </c:strRef>
          </c:cat>
          <c:val>
            <c:numRef>
              <c:f>('c, d, e, f - F. Aval. e Seleção'!$E$8,'c, d, e, f - F. Aval. e Seleção'!$H$8,'c, d, e, f - F. Aval. e Seleção'!$K$8,'c, d, e, f - F. Aval. e Seleção'!$N$8)</c:f>
              <c:numCache>
                <c:formatCode>0.00</c:formatCode>
                <c:ptCount val="4"/>
                <c:pt idx="0" formatCode="_-* #\ ##0.00\ _€_-;\-* #\ ##0.00\ _€_-;_-* &quot;-&quot;??\ _€_-;_-@_-">
                  <c:v>0.25799573560767591</c:v>
                </c:pt>
                <c:pt idx="1">
                  <c:v>0.23333333333333334</c:v>
                </c:pt>
                <c:pt idx="2" formatCode="General">
                  <c:v>0.25</c:v>
                </c:pt>
                <c:pt idx="3" formatCode="General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D0-9A41-9CBC-44EB9A1CA7F7}"/>
            </c:ext>
          </c:extLst>
        </c:ser>
        <c:ser>
          <c:idx val="3"/>
          <c:order val="3"/>
          <c:tx>
            <c:strRef>
              <c:f>'c, d, e, f - F. Aval. e Seleção'!$A$9</c:f>
              <c:strCache>
                <c:ptCount val="1"/>
                <c:pt idx="0">
                  <c:v>D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'c, d, e, f - F. Aval. e Seleção'!$A$17:$A$20</c:f>
              <c:strCache>
                <c:ptCount val="4"/>
                <c:pt idx="0">
                  <c:v>R-W_f</c:v>
                </c:pt>
                <c:pt idx="1">
                  <c:v>R-W_r</c:v>
                </c:pt>
                <c:pt idx="2">
                  <c:v>Torn_2</c:v>
                </c:pt>
                <c:pt idx="3">
                  <c:v>Torn_3</c:v>
                </c:pt>
              </c:strCache>
            </c:strRef>
          </c:cat>
          <c:val>
            <c:numRef>
              <c:f>('c, d, e, f - F. Aval. e Seleção'!$E$9,'c, d, e, f - F. Aval. e Seleção'!$H$9,'c, d, e, f - F. Aval. e Seleção'!$K$9,'c, d, e, f - F. Aval. e Seleção'!$N$9)</c:f>
              <c:numCache>
                <c:formatCode>0.00</c:formatCode>
                <c:ptCount val="4"/>
                <c:pt idx="0" formatCode="_-* #\ ##0.00\ _€_-;\-* #\ ##0.00\ _€_-;_-* &quot;-&quot;??\ _€_-;_-@_-">
                  <c:v>0.25799573560767591</c:v>
                </c:pt>
                <c:pt idx="1">
                  <c:v>0.23333333333333334</c:v>
                </c:pt>
                <c:pt idx="2" formatCode="General">
                  <c:v>0.25</c:v>
                </c:pt>
                <c:pt idx="3" formatCode="General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D0-9A41-9CBC-44EB9A1CA7F7}"/>
            </c:ext>
          </c:extLst>
        </c:ser>
        <c:ser>
          <c:idx val="4"/>
          <c:order val="4"/>
          <c:tx>
            <c:strRef>
              <c:f>'c, d, e, f - F. Aval. e Seleção'!$A$10</c:f>
              <c:strCache>
                <c:ptCount val="1"/>
                <c:pt idx="0">
                  <c:v>E</c:v>
                </c:pt>
              </c:strCache>
            </c:strRef>
          </c:tx>
          <c:invertIfNegative val="0"/>
          <c:cat>
            <c:strRef>
              <c:f>'c, d, e, f - F. Aval. e Seleção'!$A$17:$A$20</c:f>
              <c:strCache>
                <c:ptCount val="4"/>
                <c:pt idx="0">
                  <c:v>R-W_f</c:v>
                </c:pt>
                <c:pt idx="1">
                  <c:v>R-W_r</c:v>
                </c:pt>
                <c:pt idx="2">
                  <c:v>Torn_2</c:v>
                </c:pt>
                <c:pt idx="3">
                  <c:v>Torn_3</c:v>
                </c:pt>
              </c:strCache>
            </c:strRef>
          </c:cat>
          <c:val>
            <c:numRef>
              <c:f>('c, d, e, f - F. Aval. e Seleção'!$E$10,'c, d, e, f - F. Aval. e Seleção'!$H$10,'c, d, e, f - F. Aval. e Seleção'!$K$10,'c, d, e, f - F. Aval. e Seleção'!$N$10)</c:f>
              <c:numCache>
                <c:formatCode>0.00</c:formatCode>
                <c:ptCount val="4"/>
                <c:pt idx="0" formatCode="_-* #\ ##0.00\ _€_-;\-* #\ ##0.00\ _€_-;_-* &quot;-&quot;??\ _€_-;_-@_-">
                  <c:v>0.36034115138592748</c:v>
                </c:pt>
                <c:pt idx="1">
                  <c:v>0.33333333333333331</c:v>
                </c:pt>
                <c:pt idx="2" formatCode="General">
                  <c:v>0.4</c:v>
                </c:pt>
                <c:pt idx="3" formatCode="General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2-1E42-8BE4-F11A52C3B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61728"/>
        <c:axId val="76363264"/>
      </c:barChart>
      <c:catAx>
        <c:axId val="7636172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76363264"/>
        <c:crosses val="autoZero"/>
        <c:auto val="1"/>
        <c:lblAlgn val="ctr"/>
        <c:lblOffset val="100"/>
        <c:noMultiLvlLbl val="1"/>
      </c:catAx>
      <c:valAx>
        <c:axId val="76363264"/>
        <c:scaling>
          <c:orientation val="minMax"/>
        </c:scaling>
        <c:delete val="0"/>
        <c:axPos val="l"/>
        <c:majorGridlines/>
        <c:numFmt formatCode="#,##0.0" sourceLinked="0"/>
        <c:majorTickMark val="none"/>
        <c:minorTickMark val="none"/>
        <c:tickLblPos val="nextTo"/>
        <c:crossAx val="7636172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812801</xdr:rowOff>
    </xdr:from>
    <xdr:to>
      <xdr:col>12</xdr:col>
      <xdr:colOff>38100</xdr:colOff>
      <xdr:row>0</xdr:row>
      <xdr:rowOff>1235382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966867-2A4E-1A4A-9C4C-DA76C4AF5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2801"/>
          <a:ext cx="5008033" cy="422581"/>
        </a:xfrm>
        <a:prstGeom prst="rect">
          <a:avLst/>
        </a:prstGeom>
      </xdr:spPr>
    </xdr:pic>
    <xdr:clientData/>
  </xdr:twoCellAnchor>
  <xdr:twoCellAnchor editAs="oneCell">
    <xdr:from>
      <xdr:col>0</xdr:col>
      <xdr:colOff>16936</xdr:colOff>
      <xdr:row>0</xdr:row>
      <xdr:rowOff>7626</xdr:rowOff>
    </xdr:from>
    <xdr:to>
      <xdr:col>11</xdr:col>
      <xdr:colOff>406403</xdr:colOff>
      <xdr:row>0</xdr:row>
      <xdr:rowOff>840352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52BE850-2014-B44C-BA43-04E959331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6" y="7626"/>
          <a:ext cx="4927600" cy="8327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15874</xdr:colOff>
      <xdr:row>1</xdr:row>
      <xdr:rowOff>15876</xdr:rowOff>
    </xdr:from>
    <xdr:to>
      <xdr:col>23</xdr:col>
      <xdr:colOff>420685</xdr:colOff>
      <xdr:row>10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879231</xdr:rowOff>
    </xdr:from>
    <xdr:to>
      <xdr:col>10</xdr:col>
      <xdr:colOff>597973</xdr:colOff>
      <xdr:row>0</xdr:row>
      <xdr:rowOff>2334845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141C42F-163B-654A-9DD0-902E397E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9231"/>
          <a:ext cx="6226271" cy="1455614"/>
        </a:xfrm>
        <a:prstGeom prst="rect">
          <a:avLst/>
        </a:prstGeom>
      </xdr:spPr>
    </xdr:pic>
    <xdr:clientData/>
  </xdr:twoCellAnchor>
  <xdr:twoCellAnchor editAs="oneCell">
    <xdr:from>
      <xdr:col>0</xdr:col>
      <xdr:colOff>9770</xdr:colOff>
      <xdr:row>0</xdr:row>
      <xdr:rowOff>0</xdr:rowOff>
    </xdr:from>
    <xdr:to>
      <xdr:col>8</xdr:col>
      <xdr:colOff>398952</xdr:colOff>
      <xdr:row>0</xdr:row>
      <xdr:rowOff>832726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6E351F-22FE-EA42-817F-B79B05A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70" y="0"/>
          <a:ext cx="4927600" cy="8327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220133</xdr:colOff>
      <xdr:row>0</xdr:row>
      <xdr:rowOff>832726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F24361-BADE-1E4C-BCDD-F9BB3B8DB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7600" cy="8327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789889</xdr:rowOff>
    </xdr:from>
    <xdr:to>
      <xdr:col>9</xdr:col>
      <xdr:colOff>190518</xdr:colOff>
      <xdr:row>0</xdr:row>
      <xdr:rowOff>1219200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A25B1E8-A324-CE4B-91CA-CC43C92B0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9889"/>
          <a:ext cx="5473718" cy="4293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</xdr:colOff>
      <xdr:row>0</xdr:row>
      <xdr:rowOff>27213</xdr:rowOff>
    </xdr:from>
    <xdr:to>
      <xdr:col>7</xdr:col>
      <xdr:colOff>665117</xdr:colOff>
      <xdr:row>0</xdr:row>
      <xdr:rowOff>940882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40AAB3-4FCA-C646-A056-062E4F1EC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1" y="27213"/>
          <a:ext cx="5406572" cy="913669"/>
        </a:xfrm>
        <a:prstGeom prst="rect">
          <a:avLst/>
        </a:prstGeom>
      </xdr:spPr>
    </xdr:pic>
    <xdr:clientData/>
  </xdr:twoCellAnchor>
  <xdr:twoCellAnchor editAs="oneCell">
    <xdr:from>
      <xdr:col>0</xdr:col>
      <xdr:colOff>36286</xdr:colOff>
      <xdr:row>0</xdr:row>
      <xdr:rowOff>944875</xdr:rowOff>
    </xdr:from>
    <xdr:to>
      <xdr:col>9</xdr:col>
      <xdr:colOff>194129</xdr:colOff>
      <xdr:row>0</xdr:row>
      <xdr:rowOff>1427846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96E6BA2-FABB-B341-93C0-5C8B0426A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86" y="944875"/>
          <a:ext cx="6250214" cy="4829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zoomScale="120" zoomScaleNormal="120" workbookViewId="0">
      <pane ySplit="1" topLeftCell="A30" activePane="bottomLeft" state="frozen"/>
      <selection pane="bottomLeft" activeCell="S1" sqref="A1:S37"/>
    </sheetView>
  </sheetViews>
  <sheetFormatPr baseColWidth="10" defaultColWidth="8.83203125" defaultRowHeight="15" x14ac:dyDescent="0.2"/>
  <cols>
    <col min="1" max="1" width="4.6640625" customWidth="1"/>
    <col min="2" max="2" width="3" bestFit="1" customWidth="1"/>
    <col min="3" max="3" width="8.6640625" bestFit="1" customWidth="1"/>
    <col min="4" max="4" width="3" bestFit="1" customWidth="1"/>
    <col min="5" max="5" width="6.1640625" bestFit="1" customWidth="1"/>
    <col min="6" max="14" width="5.6640625" customWidth="1"/>
    <col min="15" max="15" width="9.33203125" customWidth="1"/>
    <col min="16" max="16" width="8.6640625" customWidth="1"/>
    <col min="17" max="17" width="12.6640625" bestFit="1" customWidth="1"/>
    <col min="18" max="18" width="10.33203125" bestFit="1" customWidth="1"/>
    <col min="19" max="19" width="6.5" bestFit="1" customWidth="1"/>
  </cols>
  <sheetData>
    <row r="1" spans="1:19" ht="97" customHeight="1" x14ac:dyDescent="0.2"/>
    <row r="2" spans="1:19" ht="16" customHeight="1" x14ac:dyDescent="0.2">
      <c r="A2" s="92" t="s">
        <v>62</v>
      </c>
      <c r="B2" t="s">
        <v>69</v>
      </c>
      <c r="C2" s="102" t="s">
        <v>0</v>
      </c>
      <c r="D2" s="102"/>
      <c r="E2" s="102"/>
      <c r="F2" s="1">
        <v>4</v>
      </c>
      <c r="G2" s="1"/>
      <c r="H2" s="1" t="s">
        <v>59</v>
      </c>
      <c r="I2" s="1"/>
    </row>
    <row r="3" spans="1:19" ht="16" customHeight="1" x14ac:dyDescent="0.2">
      <c r="D3" s="91" t="s">
        <v>9</v>
      </c>
      <c r="E3" s="91"/>
      <c r="F3" s="1">
        <f>2^F2</f>
        <v>16</v>
      </c>
      <c r="G3" s="1"/>
      <c r="H3" s="1"/>
      <c r="I3" s="1"/>
    </row>
    <row r="4" spans="1:19" ht="16" customHeight="1" x14ac:dyDescent="0.2">
      <c r="A4" s="92" t="s">
        <v>63</v>
      </c>
      <c r="D4" s="91" t="s">
        <v>12</v>
      </c>
      <c r="E4" s="91"/>
      <c r="F4" s="1">
        <f>2^($F$15-F5)</f>
        <v>8</v>
      </c>
      <c r="G4" s="1">
        <f>2^($F$15-G5)</f>
        <v>4</v>
      </c>
      <c r="H4" s="1">
        <f>2^($F$15-H5)</f>
        <v>2</v>
      </c>
      <c r="I4" s="1">
        <f>2^($F$15-I5)</f>
        <v>1</v>
      </c>
    </row>
    <row r="5" spans="1:19" ht="16" customHeight="1" thickBot="1" x14ac:dyDescent="0.25">
      <c r="D5" s="91" t="s">
        <v>4</v>
      </c>
      <c r="E5" s="91"/>
      <c r="F5" s="1">
        <v>1</v>
      </c>
      <c r="G5" s="1">
        <v>2</v>
      </c>
      <c r="H5" s="1">
        <v>3</v>
      </c>
      <c r="I5" s="1">
        <v>4</v>
      </c>
    </row>
    <row r="6" spans="1:19" ht="16" customHeight="1" thickBot="1" x14ac:dyDescent="0.25">
      <c r="B6" t="s">
        <v>69</v>
      </c>
      <c r="D6" s="1"/>
      <c r="E6" s="20" t="s">
        <v>8</v>
      </c>
      <c r="F6" s="103" t="s">
        <v>5</v>
      </c>
      <c r="G6" s="104"/>
      <c r="H6" s="104"/>
      <c r="I6" s="105"/>
      <c r="J6" s="103" t="s">
        <v>1</v>
      </c>
      <c r="K6" s="104"/>
      <c r="L6" s="104"/>
      <c r="M6" s="105"/>
    </row>
    <row r="7" spans="1:19" ht="19" customHeight="1" x14ac:dyDescent="0.2">
      <c r="D7" s="35" t="s">
        <v>15</v>
      </c>
      <c r="E7" s="31">
        <v>3</v>
      </c>
      <c r="F7" s="34">
        <f>MOD(QUOTIENT($E7,F$4),2)</f>
        <v>0</v>
      </c>
      <c r="G7" s="24">
        <f t="shared" ref="G7:I11" si="0">MOD(QUOTIENT($E7,G$4),2)</f>
        <v>0</v>
      </c>
      <c r="H7" s="24">
        <f t="shared" si="0"/>
        <v>1</v>
      </c>
      <c r="I7" s="42">
        <f t="shared" si="0"/>
        <v>1</v>
      </c>
      <c r="J7" s="34">
        <f>F7</f>
        <v>0</v>
      </c>
      <c r="K7" s="24">
        <f t="shared" ref="K7:M11" si="1">IF(OR(AND(F7,NOT(G7)),AND(NOT(F7),G7)),1,0)</f>
        <v>0</v>
      </c>
      <c r="L7" s="24">
        <f t="shared" si="1"/>
        <v>1</v>
      </c>
      <c r="M7" s="42">
        <f t="shared" si="1"/>
        <v>0</v>
      </c>
    </row>
    <row r="8" spans="1:19" ht="19" customHeight="1" x14ac:dyDescent="0.2">
      <c r="D8" s="21" t="s">
        <v>16</v>
      </c>
      <c r="E8" s="30">
        <v>7</v>
      </c>
      <c r="F8" s="9">
        <f t="shared" ref="F8:F11" si="2">MOD(QUOTIENT($E8,F$4),2)</f>
        <v>0</v>
      </c>
      <c r="G8" s="1">
        <f t="shared" si="0"/>
        <v>1</v>
      </c>
      <c r="H8" s="1">
        <f t="shared" si="0"/>
        <v>1</v>
      </c>
      <c r="I8" s="18">
        <f t="shared" si="0"/>
        <v>1</v>
      </c>
      <c r="J8" s="9">
        <f>F8</f>
        <v>0</v>
      </c>
      <c r="K8" s="1">
        <f t="shared" si="1"/>
        <v>1</v>
      </c>
      <c r="L8" s="1">
        <f t="shared" si="1"/>
        <v>0</v>
      </c>
      <c r="M8" s="18">
        <f t="shared" si="1"/>
        <v>0</v>
      </c>
    </row>
    <row r="9" spans="1:19" ht="19" customHeight="1" x14ac:dyDescent="0.2">
      <c r="D9" s="21" t="s">
        <v>17</v>
      </c>
      <c r="E9" s="30">
        <v>11</v>
      </c>
      <c r="F9" s="9">
        <f t="shared" si="2"/>
        <v>1</v>
      </c>
      <c r="G9" s="1">
        <f t="shared" si="0"/>
        <v>0</v>
      </c>
      <c r="H9" s="1">
        <f t="shared" si="0"/>
        <v>1</v>
      </c>
      <c r="I9" s="18">
        <f t="shared" si="0"/>
        <v>1</v>
      </c>
      <c r="J9" s="9">
        <f>F9</f>
        <v>1</v>
      </c>
      <c r="K9" s="1">
        <f t="shared" si="1"/>
        <v>1</v>
      </c>
      <c r="L9" s="1">
        <f t="shared" si="1"/>
        <v>1</v>
      </c>
      <c r="M9" s="18">
        <f t="shared" si="1"/>
        <v>0</v>
      </c>
    </row>
    <row r="10" spans="1:19" ht="19" customHeight="1" x14ac:dyDescent="0.2">
      <c r="D10" s="21" t="s">
        <v>18</v>
      </c>
      <c r="E10" s="30">
        <v>11</v>
      </c>
      <c r="F10" s="9">
        <f t="shared" si="2"/>
        <v>1</v>
      </c>
      <c r="G10" s="1">
        <f t="shared" si="0"/>
        <v>0</v>
      </c>
      <c r="H10" s="1">
        <f t="shared" si="0"/>
        <v>1</v>
      </c>
      <c r="I10" s="18">
        <f t="shared" si="0"/>
        <v>1</v>
      </c>
      <c r="J10" s="9">
        <f>F10</f>
        <v>1</v>
      </c>
      <c r="K10" s="1">
        <f t="shared" si="1"/>
        <v>1</v>
      </c>
      <c r="L10" s="1">
        <f t="shared" si="1"/>
        <v>1</v>
      </c>
      <c r="M10" s="18">
        <f t="shared" si="1"/>
        <v>0</v>
      </c>
    </row>
    <row r="11" spans="1:19" ht="19" customHeight="1" thickBot="1" x14ac:dyDescent="0.25">
      <c r="D11" s="22" t="s">
        <v>19</v>
      </c>
      <c r="E11" s="39">
        <v>13</v>
      </c>
      <c r="F11" s="10">
        <f t="shared" si="2"/>
        <v>1</v>
      </c>
      <c r="G11" s="11">
        <f t="shared" si="0"/>
        <v>1</v>
      </c>
      <c r="H11" s="11">
        <f t="shared" si="0"/>
        <v>0</v>
      </c>
      <c r="I11" s="19">
        <f t="shared" si="0"/>
        <v>1</v>
      </c>
      <c r="J11" s="10">
        <f>F11</f>
        <v>1</v>
      </c>
      <c r="K11" s="11">
        <f t="shared" si="1"/>
        <v>0</v>
      </c>
      <c r="L11" s="11">
        <f t="shared" si="1"/>
        <v>1</v>
      </c>
      <c r="M11" s="19">
        <f t="shared" si="1"/>
        <v>1</v>
      </c>
    </row>
    <row r="12" spans="1:19" ht="19" customHeight="1" x14ac:dyDescent="0.2"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9" ht="19" customHeight="1" x14ac:dyDescent="0.2">
      <c r="A13" s="94" t="s">
        <v>68</v>
      </c>
      <c r="B13" s="94"/>
      <c r="C13" s="94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9" ht="16" customHeight="1" x14ac:dyDescent="0.2">
      <c r="A14" s="92" t="s">
        <v>64</v>
      </c>
      <c r="B14" s="92"/>
      <c r="C14" s="92"/>
      <c r="D14" s="4"/>
      <c r="E14" s="4"/>
      <c r="F14" s="4"/>
      <c r="G14" s="4"/>
      <c r="H14" s="4"/>
      <c r="I14" s="4"/>
      <c r="J14" s="4"/>
      <c r="K14" s="4"/>
      <c r="L14" s="4"/>
      <c r="M14" s="4"/>
      <c r="N14" s="92"/>
      <c r="O14" s="92"/>
      <c r="P14" s="92"/>
      <c r="Q14" s="92"/>
      <c r="R14" s="92"/>
      <c r="S14" s="92"/>
    </row>
    <row r="15" spans="1:19" x14ac:dyDescent="0.2">
      <c r="A15" s="1"/>
      <c r="B15" s="1"/>
      <c r="C15" s="102" t="s">
        <v>0</v>
      </c>
      <c r="D15" s="102"/>
      <c r="E15" s="102"/>
      <c r="F15" s="1">
        <v>4</v>
      </c>
      <c r="G15" s="1"/>
      <c r="H15" s="1" t="s">
        <v>59</v>
      </c>
      <c r="I15" s="1"/>
      <c r="J15" s="1"/>
      <c r="K15" s="1"/>
      <c r="L15" s="1"/>
      <c r="M15" s="1"/>
      <c r="N15" s="1"/>
      <c r="O15" s="1"/>
      <c r="P15" s="1"/>
    </row>
    <row r="16" spans="1:19" x14ac:dyDescent="0.2">
      <c r="A16" s="1"/>
      <c r="B16" s="1"/>
      <c r="C16" s="102" t="s">
        <v>9</v>
      </c>
      <c r="D16" s="102"/>
      <c r="E16" s="102"/>
      <c r="F16" s="1">
        <f>2^F15</f>
        <v>16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9" x14ac:dyDescent="0.2">
      <c r="A17" s="1"/>
      <c r="B17" s="1"/>
      <c r="C17" s="102" t="s">
        <v>12</v>
      </c>
      <c r="D17" s="102"/>
      <c r="E17" s="102"/>
      <c r="F17" s="1">
        <f>2^($F$15-F18)</f>
        <v>8</v>
      </c>
      <c r="G17" s="1">
        <f>2^($F$15-G18)</f>
        <v>4</v>
      </c>
      <c r="H17" s="1">
        <f>2^($F$15-H18)</f>
        <v>2</v>
      </c>
      <c r="I17" s="1">
        <f>2^($F$15-I18)</f>
        <v>1</v>
      </c>
      <c r="J17" s="1"/>
      <c r="K17" s="1"/>
      <c r="L17" s="1"/>
      <c r="M17" s="1"/>
      <c r="N17" s="1"/>
      <c r="O17" s="119"/>
      <c r="P17" s="119"/>
    </row>
    <row r="18" spans="1:19" ht="16" thickBot="1" x14ac:dyDescent="0.25">
      <c r="A18" s="1"/>
      <c r="B18" s="1"/>
      <c r="C18" s="102" t="s">
        <v>4</v>
      </c>
      <c r="D18" s="102"/>
      <c r="E18" s="102"/>
      <c r="F18" s="1">
        <v>1</v>
      </c>
      <c r="G18" s="1">
        <v>2</v>
      </c>
      <c r="H18" s="1">
        <v>3</v>
      </c>
      <c r="I18" s="1">
        <v>4</v>
      </c>
      <c r="J18" s="1"/>
      <c r="K18" s="1">
        <v>1</v>
      </c>
      <c r="L18" s="1">
        <v>2</v>
      </c>
      <c r="M18" s="1">
        <v>3</v>
      </c>
      <c r="N18" s="1">
        <v>4</v>
      </c>
      <c r="O18" s="119"/>
      <c r="P18" s="119"/>
    </row>
    <row r="19" spans="1:19" ht="16" thickBot="1" x14ac:dyDescent="0.25">
      <c r="A19" s="78">
        <v>0</v>
      </c>
      <c r="B19" s="75"/>
      <c r="C19" s="80" t="s">
        <v>6</v>
      </c>
      <c r="D19" s="80"/>
      <c r="E19" s="81" t="s">
        <v>10</v>
      </c>
      <c r="F19" s="128" t="s">
        <v>5</v>
      </c>
      <c r="G19" s="129"/>
      <c r="H19" s="129"/>
      <c r="I19" s="130"/>
      <c r="J19" s="50"/>
      <c r="K19" s="118" t="s">
        <v>1</v>
      </c>
      <c r="L19" s="118"/>
      <c r="M19" s="118"/>
      <c r="N19" s="118"/>
      <c r="O19" s="20" t="s">
        <v>6</v>
      </c>
    </row>
    <row r="20" spans="1:19" ht="16" thickBot="1" x14ac:dyDescent="0.25">
      <c r="A20" s="47">
        <v>0</v>
      </c>
      <c r="B20" s="48" t="s">
        <v>11</v>
      </c>
      <c r="C20" s="82">
        <v>13</v>
      </c>
      <c r="D20" s="48" t="s">
        <v>11</v>
      </c>
      <c r="E20" s="49">
        <f>F16-1</f>
        <v>15</v>
      </c>
      <c r="F20" s="78">
        <f>MOD(QUOTIENT($C20,F$29),2)</f>
        <v>1</v>
      </c>
      <c r="G20" s="75">
        <f>MOD(QUOTIENT($C20,G$29),2)</f>
        <v>1</v>
      </c>
      <c r="H20" s="75">
        <f>MOD(QUOTIENT($C20,H$29),2)</f>
        <v>0</v>
      </c>
      <c r="I20" s="79">
        <f>MOD(QUOTIENT($C20,I$29),2)</f>
        <v>1</v>
      </c>
      <c r="J20" s="77" t="s">
        <v>58</v>
      </c>
      <c r="K20" s="78">
        <f>F20</f>
        <v>1</v>
      </c>
      <c r="L20" s="75">
        <f>IF(OR(AND(F20,NOT(G20)),AND(NOT(F20),G20)),1,0)</f>
        <v>0</v>
      </c>
      <c r="M20" s="75">
        <f>IF(OR(AND(G20,NOT(H20)),AND(NOT(G20),H20)),1,0)</f>
        <v>1</v>
      </c>
      <c r="N20" s="79">
        <f>IF(OR(AND(H20,NOT(I20)),AND(NOT(H20),I20)),1,0)</f>
        <v>1</v>
      </c>
      <c r="O20" s="76">
        <f>8*F20+4*G20+2*H20+1*I20</f>
        <v>13</v>
      </c>
    </row>
    <row r="21" spans="1:19" ht="16" thickBot="1" x14ac:dyDescent="0.25">
      <c r="A21" s="92" t="s">
        <v>66</v>
      </c>
      <c r="B21" s="92"/>
      <c r="C21" s="92"/>
      <c r="D21" s="4"/>
      <c r="E21" s="4"/>
      <c r="F21" s="4"/>
      <c r="G21" s="4"/>
      <c r="H21" s="4"/>
      <c r="I21" s="4"/>
      <c r="J21" s="4"/>
      <c r="K21" s="4"/>
      <c r="L21" s="4"/>
      <c r="M21" s="93"/>
      <c r="N21" s="93"/>
      <c r="O21" s="93"/>
      <c r="P21" s="92"/>
      <c r="Q21" s="92"/>
      <c r="R21" s="92"/>
      <c r="S21" s="92"/>
    </row>
    <row r="22" spans="1:19" ht="16" thickBot="1" x14ac:dyDescent="0.25">
      <c r="F22" s="128" t="s">
        <v>5</v>
      </c>
      <c r="G22" s="129"/>
      <c r="H22" s="129"/>
      <c r="I22" s="130"/>
      <c r="J22" s="50"/>
      <c r="K22" s="128" t="s">
        <v>1</v>
      </c>
      <c r="L22" s="129"/>
      <c r="M22" s="129"/>
      <c r="N22" s="130"/>
      <c r="O22" s="76" t="s">
        <v>6</v>
      </c>
    </row>
    <row r="23" spans="1:19" ht="16" thickBot="1" x14ac:dyDescent="0.25">
      <c r="F23" s="95">
        <v>0</v>
      </c>
      <c r="G23" s="82">
        <v>0</v>
      </c>
      <c r="H23" s="82">
        <v>1</v>
      </c>
      <c r="I23" s="96">
        <v>1</v>
      </c>
      <c r="J23" s="77" t="s">
        <v>58</v>
      </c>
      <c r="K23" s="78">
        <f>F23</f>
        <v>0</v>
      </c>
      <c r="L23" s="75">
        <f>IF(OR(AND(F23,NOT(G23)),AND(NOT(F23),G23)),1,0)</f>
        <v>0</v>
      </c>
      <c r="M23" s="75">
        <f>IF(OR(AND(G23,NOT(H23)),AND(NOT(G23),H23)),1,0)</f>
        <v>1</v>
      </c>
      <c r="N23" s="79">
        <f>IF(OR(AND(H23,NOT(I23)),AND(NOT(H23),I23)),1,0)</f>
        <v>0</v>
      </c>
      <c r="O23" s="76">
        <f>8*F23+4*G23+2*H23+1*I23</f>
        <v>3</v>
      </c>
    </row>
    <row r="24" spans="1:19" ht="16" thickBot="1" x14ac:dyDescent="0.25">
      <c r="A24" s="92" t="s">
        <v>65</v>
      </c>
      <c r="B24" s="92"/>
      <c r="C24" s="92"/>
      <c r="D24" s="4"/>
      <c r="E24" s="4"/>
      <c r="F24" s="4"/>
      <c r="G24" s="4"/>
      <c r="H24" s="4"/>
      <c r="I24" s="4"/>
      <c r="J24" s="4"/>
      <c r="K24" s="4"/>
      <c r="L24" s="4"/>
      <c r="M24" s="92"/>
      <c r="N24" s="92"/>
      <c r="O24" s="92"/>
      <c r="P24" s="92"/>
      <c r="Q24" s="92"/>
      <c r="R24" s="92"/>
      <c r="S24" s="92"/>
    </row>
    <row r="25" spans="1:19" ht="16" thickBot="1" x14ac:dyDescent="0.25">
      <c r="F25" s="110" t="s">
        <v>1</v>
      </c>
      <c r="G25" s="111"/>
      <c r="H25" s="111"/>
      <c r="I25" s="112"/>
      <c r="J25" s="74"/>
      <c r="K25" s="110" t="s">
        <v>5</v>
      </c>
      <c r="L25" s="111"/>
      <c r="M25" s="111"/>
      <c r="N25" s="112"/>
      <c r="O25" s="20" t="s">
        <v>6</v>
      </c>
    </row>
    <row r="26" spans="1:19" ht="16" thickBot="1" x14ac:dyDescent="0.25">
      <c r="F26" s="95">
        <v>1</v>
      </c>
      <c r="G26" s="82">
        <v>1</v>
      </c>
      <c r="H26" s="82">
        <v>1</v>
      </c>
      <c r="I26" s="96">
        <v>1</v>
      </c>
      <c r="J26" s="77" t="s">
        <v>58</v>
      </c>
      <c r="K26" s="78">
        <f>F26</f>
        <v>1</v>
      </c>
      <c r="L26" s="75">
        <f>IF(OR(AND(K26,NOT(G26)),AND(NOT(K26),G26)),1,0)</f>
        <v>0</v>
      </c>
      <c r="M26" s="75">
        <f>IF(OR(AND(L26,NOT(H26)),AND(NOT(L26),H26)),1,0)</f>
        <v>1</v>
      </c>
      <c r="N26" s="79">
        <f>IF(OR(AND(M26,NOT(I26)),AND(NOT(M26),I26)),1,0)</f>
        <v>0</v>
      </c>
      <c r="O26" s="76">
        <f>8*K26+4*L26+2*M26+1*N26</f>
        <v>10</v>
      </c>
    </row>
    <row r="27" spans="1:19" x14ac:dyDescent="0.2">
      <c r="A27" s="92" t="s">
        <v>67</v>
      </c>
      <c r="B27" s="92"/>
      <c r="C27" s="92"/>
      <c r="D27" s="4"/>
      <c r="E27" s="4"/>
      <c r="F27" s="4"/>
      <c r="G27" s="4"/>
      <c r="H27" s="4"/>
      <c r="I27" s="4"/>
      <c r="J27" s="4"/>
      <c r="K27" s="4"/>
      <c r="L27" s="4"/>
      <c r="M27" s="92"/>
      <c r="N27" s="92"/>
      <c r="O27" s="92"/>
      <c r="P27" s="92"/>
      <c r="Q27" s="92"/>
      <c r="R27" s="92"/>
      <c r="S27" s="92"/>
    </row>
    <row r="28" spans="1:19" x14ac:dyDescent="0.2">
      <c r="A28" s="1"/>
      <c r="B28" s="1"/>
      <c r="C28" s="102" t="s">
        <v>9</v>
      </c>
      <c r="D28" s="102"/>
      <c r="E28" s="102"/>
      <c r="F28" s="1">
        <f>2^F15</f>
        <v>16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x14ac:dyDescent="0.2">
      <c r="A29" s="1"/>
      <c r="B29" s="1"/>
      <c r="C29" s="102" t="s">
        <v>12</v>
      </c>
      <c r="D29" s="102"/>
      <c r="E29" s="102"/>
      <c r="F29" s="1">
        <f>2^($F$15-F30)</f>
        <v>8</v>
      </c>
      <c r="G29" s="1">
        <f>2^($F$15-G30)</f>
        <v>4</v>
      </c>
      <c r="H29" s="1">
        <f>2^($F$15-H30)</f>
        <v>2</v>
      </c>
      <c r="I29" s="1">
        <f>2^($F$15-I30)</f>
        <v>1</v>
      </c>
      <c r="J29" s="1"/>
      <c r="K29" s="1"/>
      <c r="L29" s="1"/>
      <c r="M29" s="1"/>
      <c r="N29" s="1"/>
      <c r="O29" s="119" t="s">
        <v>7</v>
      </c>
      <c r="P29" s="119"/>
    </row>
    <row r="30" spans="1:19" ht="16" thickBot="1" x14ac:dyDescent="0.25">
      <c r="A30" s="1"/>
      <c r="B30" s="1"/>
      <c r="C30" s="102" t="s">
        <v>4</v>
      </c>
      <c r="D30" s="102"/>
      <c r="E30" s="102"/>
      <c r="F30" s="1">
        <v>1</v>
      </c>
      <c r="G30" s="1">
        <v>2</v>
      </c>
      <c r="H30" s="1">
        <v>3</v>
      </c>
      <c r="I30" s="1">
        <v>4</v>
      </c>
      <c r="J30" s="1"/>
      <c r="K30" s="1">
        <v>1</v>
      </c>
      <c r="L30" s="1">
        <v>2</v>
      </c>
      <c r="M30" s="1">
        <v>3</v>
      </c>
      <c r="N30" s="1">
        <v>4</v>
      </c>
      <c r="O30" s="119" t="s">
        <v>32</v>
      </c>
      <c r="P30" s="119"/>
      <c r="Q30" s="2" t="s">
        <v>54</v>
      </c>
    </row>
    <row r="31" spans="1:19" ht="16" thickBot="1" x14ac:dyDescent="0.25">
      <c r="A31" s="6">
        <v>0</v>
      </c>
      <c r="B31" s="7"/>
      <c r="C31" s="23" t="s">
        <v>6</v>
      </c>
      <c r="D31" s="23"/>
      <c r="E31" s="23" t="s">
        <v>10</v>
      </c>
      <c r="F31" s="118" t="s">
        <v>5</v>
      </c>
      <c r="G31" s="118"/>
      <c r="H31" s="118"/>
      <c r="I31" s="118"/>
      <c r="J31" s="24"/>
      <c r="K31" s="118" t="s">
        <v>1</v>
      </c>
      <c r="L31" s="118"/>
      <c r="M31" s="118"/>
      <c r="N31" s="118"/>
      <c r="O31" s="23" t="s">
        <v>2</v>
      </c>
      <c r="P31" s="23" t="s">
        <v>3</v>
      </c>
      <c r="Q31" s="51" t="s">
        <v>8</v>
      </c>
      <c r="R31" s="55" t="s">
        <v>70</v>
      </c>
      <c r="S31" s="56" t="s">
        <v>55</v>
      </c>
    </row>
    <row r="32" spans="1:19" x14ac:dyDescent="0.2">
      <c r="A32" s="120">
        <v>0</v>
      </c>
      <c r="B32" s="122" t="s">
        <v>11</v>
      </c>
      <c r="C32" s="86">
        <v>9</v>
      </c>
      <c r="D32" s="133" t="s">
        <v>11</v>
      </c>
      <c r="E32" s="124">
        <f>$F$28-1</f>
        <v>15</v>
      </c>
      <c r="F32" s="6">
        <f t="shared" ref="F32:I33" si="3">MOD(QUOTIENT($C32,F$29),2)</f>
        <v>1</v>
      </c>
      <c r="G32" s="7">
        <f t="shared" si="3"/>
        <v>0</v>
      </c>
      <c r="H32" s="7">
        <f t="shared" si="3"/>
        <v>0</v>
      </c>
      <c r="I32" s="8">
        <f t="shared" si="3"/>
        <v>1</v>
      </c>
      <c r="J32" s="126" t="s">
        <v>58</v>
      </c>
      <c r="K32" s="6">
        <f>F32</f>
        <v>1</v>
      </c>
      <c r="L32" s="7">
        <f t="shared" ref="L32:N33" si="4">IF(OR(AND(F32,NOT(G32)),AND(NOT(F32),G32)),1,0)</f>
        <v>1</v>
      </c>
      <c r="M32" s="7">
        <f t="shared" si="4"/>
        <v>0</v>
      </c>
      <c r="N32" s="8">
        <f t="shared" si="4"/>
        <v>1</v>
      </c>
      <c r="O32" s="114">
        <v>1</v>
      </c>
      <c r="P32" s="116">
        <v>3</v>
      </c>
      <c r="Q32" s="54">
        <f>$O$32+($P$32-$O$32)/(2^$F$15-1)*C32</f>
        <v>2.2000000000000002</v>
      </c>
      <c r="R32" s="106">
        <f>($P$32-$O$32)/($F$28-1)</f>
        <v>0.13333333333333333</v>
      </c>
      <c r="S32" s="108">
        <f>R32/2</f>
        <v>6.6666666666666666E-2</v>
      </c>
    </row>
    <row r="33" spans="1:19" ht="16" thickBot="1" x14ac:dyDescent="0.25">
      <c r="A33" s="121"/>
      <c r="B33" s="123"/>
      <c r="C33" s="87">
        <v>15</v>
      </c>
      <c r="D33" s="134"/>
      <c r="E33" s="125"/>
      <c r="F33" s="71">
        <f t="shared" si="3"/>
        <v>1</v>
      </c>
      <c r="G33" s="83">
        <f t="shared" si="3"/>
        <v>1</v>
      </c>
      <c r="H33" s="83">
        <f t="shared" si="3"/>
        <v>1</v>
      </c>
      <c r="I33" s="63">
        <f t="shared" si="3"/>
        <v>1</v>
      </c>
      <c r="J33" s="127"/>
      <c r="K33" s="71">
        <f>F33</f>
        <v>1</v>
      </c>
      <c r="L33" s="83">
        <f t="shared" si="4"/>
        <v>0</v>
      </c>
      <c r="M33" s="83">
        <f t="shared" si="4"/>
        <v>0</v>
      </c>
      <c r="N33" s="63">
        <f t="shared" si="4"/>
        <v>0</v>
      </c>
      <c r="O33" s="115"/>
      <c r="P33" s="117"/>
      <c r="Q33" s="53">
        <f>$O$32+($P$32-$O$32)/(2^$F$15-1)*C33</f>
        <v>3</v>
      </c>
      <c r="R33" s="107"/>
      <c r="S33" s="109"/>
    </row>
    <row r="34" spans="1:19" x14ac:dyDescent="0.2">
      <c r="B34" s="1"/>
      <c r="C34" s="84">
        <f>ABS(C32-C33)</f>
        <v>6</v>
      </c>
      <c r="D34" s="1"/>
      <c r="E34" s="1" t="s">
        <v>60</v>
      </c>
      <c r="F34" s="1">
        <f>IF(OR(AND(F32,NOT(F33)),AND(NOT(F32),F33)),1,0)</f>
        <v>0</v>
      </c>
      <c r="G34" s="1">
        <f t="shared" ref="G34:I34" si="5">IF(OR(AND(G32,NOT(G33)),AND(NOT(G32),G33)),1,0)</f>
        <v>1</v>
      </c>
      <c r="H34" s="1">
        <f t="shared" si="5"/>
        <v>1</v>
      </c>
      <c r="I34" s="1">
        <f t="shared" si="5"/>
        <v>0</v>
      </c>
      <c r="J34" s="1" t="s">
        <v>60</v>
      </c>
      <c r="K34" s="1">
        <f>IF(OR(AND(K32,NOT(K33)),AND(NOT(K32),K33)),1,0)</f>
        <v>0</v>
      </c>
      <c r="L34" s="1">
        <f t="shared" ref="L34:N34" si="6">IF(OR(AND(L32,NOT(L33)),AND(NOT(L32),L33)),1,0)</f>
        <v>1</v>
      </c>
      <c r="M34" s="1">
        <f t="shared" si="6"/>
        <v>0</v>
      </c>
      <c r="N34" s="1">
        <f t="shared" si="6"/>
        <v>1</v>
      </c>
      <c r="O34" s="111">
        <f>P32-O32</f>
        <v>2</v>
      </c>
      <c r="P34" s="111"/>
      <c r="Q34" s="85">
        <f>ABS(Q32-Q33)</f>
        <v>0.79999999999999982</v>
      </c>
      <c r="R34" s="1"/>
    </row>
    <row r="35" spans="1:19" x14ac:dyDescent="0.2">
      <c r="B35" s="1"/>
      <c r="C35" s="132" t="s">
        <v>14</v>
      </c>
      <c r="D35" s="1"/>
      <c r="E35" s="1"/>
      <c r="F35" s="113">
        <f>SUM(F34:I34)</f>
        <v>2</v>
      </c>
      <c r="G35" s="113"/>
      <c r="H35" s="113"/>
      <c r="I35" s="113"/>
      <c r="J35" s="2"/>
      <c r="K35" s="113">
        <f>SUM(K34:N34)</f>
        <v>2</v>
      </c>
      <c r="L35" s="113"/>
      <c r="M35" s="113"/>
      <c r="N35" s="113"/>
      <c r="O35" s="2"/>
      <c r="P35" s="1"/>
      <c r="Q35" s="132" t="s">
        <v>14</v>
      </c>
      <c r="R35" s="1"/>
    </row>
    <row r="36" spans="1:19" x14ac:dyDescent="0.2">
      <c r="C36" s="132"/>
      <c r="F36" s="131" t="s">
        <v>13</v>
      </c>
      <c r="G36" s="131"/>
      <c r="H36" s="131"/>
      <c r="I36" s="131"/>
      <c r="K36" s="131" t="s">
        <v>13</v>
      </c>
      <c r="L36" s="131"/>
      <c r="M36" s="131"/>
      <c r="N36" s="131"/>
      <c r="Q36" s="132"/>
    </row>
  </sheetData>
  <mergeCells count="38">
    <mergeCell ref="F36:I36"/>
    <mergeCell ref="C35:C36"/>
    <mergeCell ref="Q35:Q36"/>
    <mergeCell ref="O34:P34"/>
    <mergeCell ref="C16:E16"/>
    <mergeCell ref="C18:E18"/>
    <mergeCell ref="O18:P18"/>
    <mergeCell ref="C17:E17"/>
    <mergeCell ref="O17:P17"/>
    <mergeCell ref="F22:I22"/>
    <mergeCell ref="K22:N22"/>
    <mergeCell ref="D32:D33"/>
    <mergeCell ref="K19:N19"/>
    <mergeCell ref="K36:N36"/>
    <mergeCell ref="A32:A33"/>
    <mergeCell ref="B32:B33"/>
    <mergeCell ref="E32:E33"/>
    <mergeCell ref="J32:J33"/>
    <mergeCell ref="F19:I19"/>
    <mergeCell ref="C28:E28"/>
    <mergeCell ref="C30:E30"/>
    <mergeCell ref="C29:E29"/>
    <mergeCell ref="S32:S33"/>
    <mergeCell ref="F25:I25"/>
    <mergeCell ref="K25:N25"/>
    <mergeCell ref="F35:I35"/>
    <mergeCell ref="K35:N35"/>
    <mergeCell ref="O32:O33"/>
    <mergeCell ref="P32:P33"/>
    <mergeCell ref="F31:I31"/>
    <mergeCell ref="K31:N31"/>
    <mergeCell ref="O29:P29"/>
    <mergeCell ref="O30:P30"/>
    <mergeCell ref="C15:E15"/>
    <mergeCell ref="C2:E2"/>
    <mergeCell ref="F6:I6"/>
    <mergeCell ref="J6:M6"/>
    <mergeCell ref="R32:R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zoomScale="120" zoomScaleNormal="120" workbookViewId="0">
      <pane ySplit="1" topLeftCell="A18" activePane="bottomLeft" state="frozen"/>
      <selection pane="bottomLeft" activeCell="X1" sqref="A1:X22"/>
    </sheetView>
  </sheetViews>
  <sheetFormatPr baseColWidth="10" defaultColWidth="8.83203125" defaultRowHeight="15" x14ac:dyDescent="0.2"/>
  <cols>
    <col min="1" max="1" width="8.5" customWidth="1"/>
    <col min="2" max="2" width="4.5" customWidth="1"/>
    <col min="3" max="3" width="8.1640625" customWidth="1"/>
    <col min="4" max="4" width="9.5" customWidth="1"/>
    <col min="5" max="5" width="7.6640625" customWidth="1"/>
    <col min="6" max="6" width="6.83203125" customWidth="1"/>
    <col min="7" max="7" width="6.83203125" bestFit="1" customWidth="1"/>
    <col min="8" max="8" width="7.5" customWidth="1"/>
    <col min="9" max="9" width="7.33203125" customWidth="1"/>
    <col min="10" max="10" width="6.83203125" customWidth="1"/>
    <col min="11" max="11" width="8.83203125" customWidth="1"/>
    <col min="12" max="12" width="7" customWidth="1"/>
    <col min="13" max="14" width="7.33203125" customWidth="1"/>
    <col min="15" max="15" width="7.5" customWidth="1"/>
    <col min="16" max="16" width="6.83203125" customWidth="1"/>
    <col min="17" max="18" width="8.6640625" customWidth="1"/>
    <col min="19" max="19" width="8.5" customWidth="1"/>
    <col min="20" max="21" width="8.6640625" customWidth="1"/>
    <col min="22" max="22" width="6.6640625" customWidth="1"/>
    <col min="23" max="24" width="8.6640625" customWidth="1"/>
  </cols>
  <sheetData>
    <row r="1" spans="1:16" ht="186" customHeight="1" x14ac:dyDescent="0.2"/>
    <row r="2" spans="1:16" ht="16" customHeight="1" x14ac:dyDescent="0.2">
      <c r="E2" s="92" t="s">
        <v>79</v>
      </c>
      <c r="F2" s="92"/>
      <c r="K2" s="97" t="s">
        <v>82</v>
      </c>
      <c r="L2" s="92"/>
    </row>
    <row r="3" spans="1:16" ht="16" customHeight="1" x14ac:dyDescent="0.2">
      <c r="E3" t="s">
        <v>69</v>
      </c>
      <c r="F3" s="98"/>
      <c r="G3" s="98"/>
      <c r="H3" s="98"/>
      <c r="I3" s="98"/>
      <c r="J3" s="98"/>
      <c r="K3" s="99" t="s">
        <v>69</v>
      </c>
    </row>
    <row r="4" spans="1:16" ht="16" thickBot="1" x14ac:dyDescent="0.25">
      <c r="C4" s="135" t="s">
        <v>78</v>
      </c>
      <c r="D4" s="135"/>
      <c r="E4" s="135" t="s">
        <v>26</v>
      </c>
      <c r="F4" s="135"/>
      <c r="G4" s="135"/>
      <c r="H4" s="135" t="s">
        <v>27</v>
      </c>
      <c r="I4" s="135"/>
      <c r="J4" s="135"/>
      <c r="K4" s="135" t="s">
        <v>30</v>
      </c>
      <c r="L4" s="135"/>
      <c r="M4" s="135"/>
      <c r="N4" s="135" t="s">
        <v>31</v>
      </c>
      <c r="O4" s="135"/>
      <c r="P4" s="135"/>
    </row>
    <row r="5" spans="1:16" ht="16" thickBot="1" x14ac:dyDescent="0.25">
      <c r="A5" s="1"/>
      <c r="B5" s="20" t="s">
        <v>8</v>
      </c>
      <c r="C5" s="20" t="s">
        <v>24</v>
      </c>
      <c r="D5" s="8" t="s">
        <v>25</v>
      </c>
      <c r="E5" s="6" t="s">
        <v>20</v>
      </c>
      <c r="F5" s="7" t="s">
        <v>22</v>
      </c>
      <c r="G5" s="8" t="s">
        <v>23</v>
      </c>
      <c r="H5" s="6" t="s">
        <v>21</v>
      </c>
      <c r="I5" s="7" t="s">
        <v>22</v>
      </c>
      <c r="J5" s="8" t="s">
        <v>23</v>
      </c>
      <c r="K5" s="6" t="s">
        <v>28</v>
      </c>
      <c r="L5" s="7" t="s">
        <v>22</v>
      </c>
      <c r="M5" s="8" t="s">
        <v>23</v>
      </c>
      <c r="N5" s="6" t="s">
        <v>29</v>
      </c>
      <c r="O5" s="7" t="s">
        <v>22</v>
      </c>
      <c r="P5" s="8" t="s">
        <v>23</v>
      </c>
    </row>
    <row r="6" spans="1:16" x14ac:dyDescent="0.2">
      <c r="A6" s="35" t="s">
        <v>15</v>
      </c>
      <c r="B6" s="35">
        <v>3</v>
      </c>
      <c r="C6" s="20">
        <f>B6^2</f>
        <v>9</v>
      </c>
      <c r="D6" s="8">
        <v>1</v>
      </c>
      <c r="E6" s="64">
        <f>C6/$C$11</f>
        <v>1.9189765458422176E-2</v>
      </c>
      <c r="F6" s="57">
        <f>5*E6</f>
        <v>9.5948827292110878E-2</v>
      </c>
      <c r="G6" s="58">
        <f>5*E6*(1-E6)</f>
        <v>9.4107591800364612E-2</v>
      </c>
      <c r="H6" s="67">
        <f>D6/$D$11</f>
        <v>6.6666666666666666E-2</v>
      </c>
      <c r="I6" s="59">
        <f>5*H6</f>
        <v>0.33333333333333331</v>
      </c>
      <c r="J6" s="58">
        <f>5*H6*(1-H6)</f>
        <v>0.31111111111111112</v>
      </c>
      <c r="K6" s="6">
        <v>0</v>
      </c>
      <c r="L6" s="24">
        <f>5*K6</f>
        <v>0</v>
      </c>
      <c r="M6" s="58">
        <f>5*K6*(1-K6)</f>
        <v>0</v>
      </c>
      <c r="N6" s="6">
        <v>0</v>
      </c>
      <c r="O6" s="24">
        <f>5*N6</f>
        <v>0</v>
      </c>
      <c r="P6" s="58">
        <f>5*N6*(1-N6)</f>
        <v>0</v>
      </c>
    </row>
    <row r="7" spans="1:16" x14ac:dyDescent="0.2">
      <c r="A7" s="21" t="s">
        <v>16</v>
      </c>
      <c r="B7" s="21">
        <v>7</v>
      </c>
      <c r="C7" s="60">
        <f>B7^2</f>
        <v>49</v>
      </c>
      <c r="D7" s="61">
        <v>2</v>
      </c>
      <c r="E7" s="65">
        <f>C7/$C$11</f>
        <v>0.1044776119402985</v>
      </c>
      <c r="F7" s="12">
        <f>5*E7</f>
        <v>0.52238805970149249</v>
      </c>
      <c r="G7" s="13">
        <f>5*E7*(1-E7)</f>
        <v>0.46781020271775448</v>
      </c>
      <c r="H7" s="68">
        <f>D7/$D$11</f>
        <v>0.13333333333333333</v>
      </c>
      <c r="I7" s="14">
        <f>5*H7</f>
        <v>0.66666666666666663</v>
      </c>
      <c r="J7" s="13">
        <f>5*H7*(1-H7)</f>
        <v>0.57777777777777772</v>
      </c>
      <c r="K7" s="70">
        <v>0.1</v>
      </c>
      <c r="L7" s="1">
        <f>5*K7</f>
        <v>0.5</v>
      </c>
      <c r="M7" s="13">
        <f>5*K7*(1-K7)</f>
        <v>0.45</v>
      </c>
      <c r="N7" s="70">
        <v>0</v>
      </c>
      <c r="O7" s="1">
        <f>5*N7</f>
        <v>0</v>
      </c>
      <c r="P7" s="13">
        <f>5*N7*(1-N7)</f>
        <v>0</v>
      </c>
    </row>
    <row r="8" spans="1:16" x14ac:dyDescent="0.2">
      <c r="A8" s="21" t="s">
        <v>17</v>
      </c>
      <c r="B8" s="21">
        <v>11</v>
      </c>
      <c r="C8" s="60">
        <f>B8^2</f>
        <v>121</v>
      </c>
      <c r="D8" s="61">
        <v>3.5</v>
      </c>
      <c r="E8" s="65">
        <f>C8/$C$11</f>
        <v>0.25799573560767591</v>
      </c>
      <c r="F8" s="12">
        <f>5*E8</f>
        <v>1.2899786780383795</v>
      </c>
      <c r="G8" s="13">
        <f>5*E8*(1-E8)</f>
        <v>0.95716968007965053</v>
      </c>
      <c r="H8" s="68">
        <f>D8/$D$11</f>
        <v>0.23333333333333334</v>
      </c>
      <c r="I8" s="14">
        <f>5*H8</f>
        <v>1.1666666666666667</v>
      </c>
      <c r="J8" s="13">
        <f>5*H8*(1-H8)</f>
        <v>0.89444444444444449</v>
      </c>
      <c r="K8" s="70">
        <v>0.25</v>
      </c>
      <c r="L8" s="1">
        <f>5*K8</f>
        <v>1.25</v>
      </c>
      <c r="M8" s="13">
        <f>5*K8*(1-K8)</f>
        <v>0.9375</v>
      </c>
      <c r="N8" s="70">
        <v>0.2</v>
      </c>
      <c r="O8" s="1">
        <f>5*N8</f>
        <v>1</v>
      </c>
      <c r="P8" s="13">
        <f>5*N8*(1-N8)</f>
        <v>0.8</v>
      </c>
    </row>
    <row r="9" spans="1:16" x14ac:dyDescent="0.2">
      <c r="A9" s="21" t="s">
        <v>18</v>
      </c>
      <c r="B9" s="21">
        <v>11</v>
      </c>
      <c r="C9" s="60">
        <f>B9^2</f>
        <v>121</v>
      </c>
      <c r="D9" s="61">
        <v>3.5</v>
      </c>
      <c r="E9" s="65">
        <f>C9/$C$11</f>
        <v>0.25799573560767591</v>
      </c>
      <c r="F9" s="12">
        <f>5*E9</f>
        <v>1.2899786780383795</v>
      </c>
      <c r="G9" s="13">
        <f>5*E9*(1-E9)</f>
        <v>0.95716968007965053</v>
      </c>
      <c r="H9" s="68">
        <f>D9/$D$11</f>
        <v>0.23333333333333334</v>
      </c>
      <c r="I9" s="14">
        <f>5*H9</f>
        <v>1.1666666666666667</v>
      </c>
      <c r="J9" s="13">
        <f>5*H9*(1-H9)</f>
        <v>0.89444444444444449</v>
      </c>
      <c r="K9" s="70">
        <v>0.25</v>
      </c>
      <c r="L9" s="1">
        <f>5*K9</f>
        <v>1.25</v>
      </c>
      <c r="M9" s="13">
        <f>5*K9*(1-K9)</f>
        <v>0.9375</v>
      </c>
      <c r="N9" s="70">
        <v>0.2</v>
      </c>
      <c r="O9" s="1">
        <f>5*N9</f>
        <v>1</v>
      </c>
      <c r="P9" s="13">
        <f>5*N9*(1-N9)</f>
        <v>0.8</v>
      </c>
    </row>
    <row r="10" spans="1:16" ht="16" thickBot="1" x14ac:dyDescent="0.25">
      <c r="A10" s="22" t="s">
        <v>19</v>
      </c>
      <c r="B10" s="22">
        <v>13</v>
      </c>
      <c r="C10" s="62">
        <f>B10^2</f>
        <v>169</v>
      </c>
      <c r="D10" s="63">
        <v>5</v>
      </c>
      <c r="E10" s="66">
        <f>C10/$C$11</f>
        <v>0.36034115138592748</v>
      </c>
      <c r="F10" s="15">
        <f>5*E10</f>
        <v>1.8017057569296373</v>
      </c>
      <c r="G10" s="16">
        <f>5*E10*(1-E10)</f>
        <v>1.1524770300189577</v>
      </c>
      <c r="H10" s="69">
        <f>D10/$D$11</f>
        <v>0.33333333333333331</v>
      </c>
      <c r="I10" s="17">
        <f>5*H10</f>
        <v>1.6666666666666665</v>
      </c>
      <c r="J10" s="16">
        <f>5*H10*(1-H10)</f>
        <v>1.1111111111111112</v>
      </c>
      <c r="K10" s="71">
        <v>0.4</v>
      </c>
      <c r="L10" s="11">
        <f>5*K10</f>
        <v>2</v>
      </c>
      <c r="M10" s="16">
        <f>5*K10*(1-K10)</f>
        <v>1.2</v>
      </c>
      <c r="N10" s="71">
        <v>0.6</v>
      </c>
      <c r="O10" s="11">
        <f>5*N10</f>
        <v>3</v>
      </c>
      <c r="P10" s="16">
        <f>5*N10*(1-N10)</f>
        <v>1.2000000000000002</v>
      </c>
    </row>
    <row r="11" spans="1:16" x14ac:dyDescent="0.2">
      <c r="A11" s="1"/>
      <c r="B11" s="1"/>
      <c r="C11" s="1">
        <f>SUM(C6:C10)</f>
        <v>469</v>
      </c>
      <c r="D11" s="1">
        <f>SUM(D6:D10)</f>
        <v>15</v>
      </c>
      <c r="E11" s="72">
        <f>E10/AVERAGE(E6:E10)</f>
        <v>1.8017057569296373</v>
      </c>
      <c r="F11" s="88" t="s">
        <v>61</v>
      </c>
      <c r="G11" s="73"/>
      <c r="H11" s="72">
        <f>H10/AVERAGE(H6:H10)</f>
        <v>1.6666666666666665</v>
      </c>
      <c r="I11" s="88" t="s">
        <v>61</v>
      </c>
      <c r="K11" s="72">
        <f>K10/AVERAGE(K6:K10)</f>
        <v>2</v>
      </c>
      <c r="L11" s="88" t="s">
        <v>61</v>
      </c>
      <c r="N11" s="72">
        <f>N10/AVERAGE(N6:N10)</f>
        <v>2.9999999999999996</v>
      </c>
      <c r="O11" s="88" t="s">
        <v>61</v>
      </c>
    </row>
    <row r="12" spans="1:16" x14ac:dyDescent="0.2">
      <c r="A12" s="1"/>
      <c r="B12" s="1"/>
      <c r="C12" s="1"/>
      <c r="D12" s="1"/>
      <c r="E12" s="100"/>
      <c r="F12" s="88"/>
      <c r="G12" s="101"/>
      <c r="H12" s="100"/>
      <c r="I12" s="88"/>
      <c r="K12" s="100"/>
      <c r="L12" s="88"/>
      <c r="N12" s="100"/>
      <c r="O12" s="88"/>
    </row>
    <row r="13" spans="1:16" x14ac:dyDescent="0.2">
      <c r="D13" s="92" t="s">
        <v>80</v>
      </c>
      <c r="E13" t="s">
        <v>81</v>
      </c>
      <c r="K13" s="92" t="s">
        <v>83</v>
      </c>
      <c r="L13" t="s">
        <v>84</v>
      </c>
    </row>
    <row r="14" spans="1:16" x14ac:dyDescent="0.2">
      <c r="A14" s="2" t="s">
        <v>73</v>
      </c>
      <c r="K14" s="2"/>
    </row>
    <row r="15" spans="1:16" x14ac:dyDescent="0.2">
      <c r="A15" s="2" t="s">
        <v>24</v>
      </c>
      <c r="B15" t="s">
        <v>71</v>
      </c>
      <c r="K15" s="2"/>
    </row>
    <row r="16" spans="1:16" x14ac:dyDescent="0.2">
      <c r="A16" s="2" t="s">
        <v>25</v>
      </c>
      <c r="B16" t="s">
        <v>72</v>
      </c>
    </row>
    <row r="17" spans="1:2" x14ac:dyDescent="0.2">
      <c r="A17" s="2" t="s">
        <v>20</v>
      </c>
      <c r="B17" t="s">
        <v>74</v>
      </c>
    </row>
    <row r="18" spans="1:2" x14ac:dyDescent="0.2">
      <c r="A18" s="2" t="s">
        <v>21</v>
      </c>
      <c r="B18" t="s">
        <v>75</v>
      </c>
    </row>
    <row r="19" spans="1:2" x14ac:dyDescent="0.2">
      <c r="A19" s="2" t="s">
        <v>28</v>
      </c>
      <c r="B19" t="s">
        <v>76</v>
      </c>
    </row>
    <row r="20" spans="1:2" x14ac:dyDescent="0.2">
      <c r="A20" s="2" t="s">
        <v>29</v>
      </c>
      <c r="B20" t="s">
        <v>77</v>
      </c>
    </row>
    <row r="21" spans="1:2" x14ac:dyDescent="0.2">
      <c r="A21" s="2" t="s">
        <v>22</v>
      </c>
      <c r="B21" t="s">
        <v>56</v>
      </c>
    </row>
    <row r="22" spans="1:2" x14ac:dyDescent="0.2">
      <c r="A22" s="2" t="s">
        <v>23</v>
      </c>
      <c r="B22" t="s">
        <v>57</v>
      </c>
    </row>
  </sheetData>
  <sortState xmlns:xlrd2="http://schemas.microsoft.com/office/spreadsheetml/2017/richdata2" ref="A5:V9">
    <sortCondition ref="B5:B9"/>
  </sortState>
  <mergeCells count="5">
    <mergeCell ref="C4:D4"/>
    <mergeCell ref="E4:G4"/>
    <mergeCell ref="H4:J4"/>
    <mergeCell ref="N4:P4"/>
    <mergeCell ref="K4:M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2"/>
  <sheetViews>
    <sheetView zoomScale="120" zoomScaleNormal="120" workbookViewId="0">
      <pane ySplit="1" topLeftCell="A72" activePane="bottomLeft" state="frozen"/>
      <selection pane="bottomLeft" activeCell="O1" sqref="A1:O82"/>
    </sheetView>
  </sheetViews>
  <sheetFormatPr baseColWidth="10" defaultColWidth="8.83203125" defaultRowHeight="15" x14ac:dyDescent="0.2"/>
  <cols>
    <col min="2" max="9" width="7.5" customWidth="1"/>
  </cols>
  <sheetData>
    <row r="1" spans="1:13" ht="102" customHeight="1" x14ac:dyDescent="0.2"/>
    <row r="2" spans="1:13" ht="15" customHeight="1" x14ac:dyDescent="0.2">
      <c r="A2" s="92" t="s">
        <v>85</v>
      </c>
    </row>
    <row r="3" spans="1:13" ht="15" customHeight="1" x14ac:dyDescent="0.2">
      <c r="A3" t="s">
        <v>86</v>
      </c>
    </row>
    <row r="4" spans="1:13" ht="16" thickBot="1" x14ac:dyDescent="0.25">
      <c r="A4" t="s">
        <v>36</v>
      </c>
    </row>
    <row r="5" spans="1:13" ht="16" thickBot="1" x14ac:dyDescent="0.25">
      <c r="A5" s="1"/>
      <c r="B5" s="110" t="s">
        <v>1</v>
      </c>
      <c r="C5" s="111"/>
      <c r="D5" s="111"/>
      <c r="E5" s="112"/>
      <c r="F5" s="110" t="s">
        <v>5</v>
      </c>
      <c r="G5" s="111"/>
      <c r="H5" s="111"/>
      <c r="I5" s="112"/>
      <c r="J5" s="20" t="s">
        <v>8</v>
      </c>
      <c r="K5" s="20" t="s">
        <v>24</v>
      </c>
    </row>
    <row r="6" spans="1:13" x14ac:dyDescent="0.2">
      <c r="A6" s="4" t="s">
        <v>15</v>
      </c>
      <c r="B6" s="40">
        <v>0</v>
      </c>
      <c r="C6" s="32">
        <v>0</v>
      </c>
      <c r="D6" s="32">
        <v>1</v>
      </c>
      <c r="E6" s="33">
        <v>0</v>
      </c>
      <c r="F6" s="34">
        <f>B6</f>
        <v>0</v>
      </c>
      <c r="G6" s="24">
        <f>IF(OR(AND(F6,NOT(C6)),AND(NOT(F6),C6)),1,0)</f>
        <v>0</v>
      </c>
      <c r="H6" s="24">
        <f t="shared" ref="H6" si="0">IF(OR(AND(G6,NOT(D6)),AND(NOT(G6),D6)),1,0)</f>
        <v>1</v>
      </c>
      <c r="I6" s="42">
        <f t="shared" ref="I6" si="1">IF(OR(AND(H6,NOT(E6)),AND(NOT(H6),E6)),1,0)</f>
        <v>1</v>
      </c>
      <c r="J6" s="35">
        <f>8*F6+4*G6+2*H6+1*I6</f>
        <v>3</v>
      </c>
      <c r="K6" s="35">
        <f>J6^2</f>
        <v>9</v>
      </c>
    </row>
    <row r="7" spans="1:13" ht="16" thickBot="1" x14ac:dyDescent="0.25">
      <c r="A7" s="3" t="s">
        <v>17</v>
      </c>
      <c r="B7" s="39">
        <v>1</v>
      </c>
      <c r="C7" s="25">
        <v>1</v>
      </c>
      <c r="D7" s="25">
        <v>1</v>
      </c>
      <c r="E7" s="37">
        <v>0</v>
      </c>
      <c r="F7" s="10">
        <v>1</v>
      </c>
      <c r="G7" s="11">
        <v>0</v>
      </c>
      <c r="H7" s="11">
        <v>1</v>
      </c>
      <c r="I7" s="19">
        <v>1</v>
      </c>
      <c r="J7" s="22">
        <f>8*F7+4*G7+2*H7+1*I7</f>
        <v>11</v>
      </c>
      <c r="K7" s="22">
        <f>J7^2</f>
        <v>121</v>
      </c>
    </row>
    <row r="9" spans="1:13" x14ac:dyDescent="0.2">
      <c r="A9" s="92" t="s">
        <v>87</v>
      </c>
      <c r="B9" s="92"/>
      <c r="C9" s="92"/>
      <c r="D9" s="92"/>
      <c r="E9" s="92"/>
      <c r="M9" s="5"/>
    </row>
    <row r="10" spans="1:13" ht="16" thickBot="1" x14ac:dyDescent="0.25">
      <c r="A10" t="s">
        <v>89</v>
      </c>
      <c r="M10" s="5"/>
    </row>
    <row r="11" spans="1:13" ht="16" thickBot="1" x14ac:dyDescent="0.25">
      <c r="A11" s="1" t="s">
        <v>91</v>
      </c>
      <c r="B11" s="103" t="s">
        <v>95</v>
      </c>
      <c r="C11" s="104"/>
      <c r="D11" s="104"/>
      <c r="E11" s="104"/>
      <c r="F11" s="103" t="s">
        <v>96</v>
      </c>
      <c r="G11" s="104"/>
      <c r="H11" s="104"/>
      <c r="I11" s="105"/>
      <c r="J11" s="20" t="s">
        <v>8</v>
      </c>
      <c r="K11" s="20" t="s">
        <v>24</v>
      </c>
      <c r="M11" s="5"/>
    </row>
    <row r="12" spans="1:13" x14ac:dyDescent="0.2">
      <c r="A12" s="1">
        <v>1</v>
      </c>
      <c r="B12" s="31">
        <v>1</v>
      </c>
      <c r="C12" s="32">
        <v>0</v>
      </c>
      <c r="D12" s="32">
        <v>1</v>
      </c>
      <c r="E12" s="33">
        <v>0</v>
      </c>
      <c r="F12" s="34">
        <f>B12</f>
        <v>1</v>
      </c>
      <c r="G12" s="24">
        <f>IF(OR(AND(F12,NOT(C12)),AND(NOT(F12),C12)),1,0)</f>
        <v>1</v>
      </c>
      <c r="H12" s="24">
        <f t="shared" ref="H12:I12" si="2">IF(OR(AND(G12,NOT(D12)),AND(NOT(G12),D12)),1,0)</f>
        <v>0</v>
      </c>
      <c r="I12" s="24">
        <f t="shared" si="2"/>
        <v>0</v>
      </c>
      <c r="J12" s="35">
        <f t="shared" ref="J12:J17" si="3">8*F12+4*G12+2*H12+1*I12</f>
        <v>12</v>
      </c>
      <c r="K12" s="35">
        <f t="shared" ref="K12:K17" si="4">J12^2</f>
        <v>144</v>
      </c>
    </row>
    <row r="13" spans="1:13" ht="16" thickBot="1" x14ac:dyDescent="0.25">
      <c r="A13" s="1"/>
      <c r="B13" s="36">
        <v>0</v>
      </c>
      <c r="C13" s="25">
        <v>1</v>
      </c>
      <c r="D13" s="25">
        <v>1</v>
      </c>
      <c r="E13" s="37">
        <v>0</v>
      </c>
      <c r="F13" s="10">
        <f t="shared" ref="F13:F17" si="5">B13</f>
        <v>0</v>
      </c>
      <c r="G13" s="11">
        <f t="shared" ref="G13:G17" si="6">IF(OR(AND(F13,NOT(C13)),AND(NOT(F13),C13)),1,0)</f>
        <v>1</v>
      </c>
      <c r="H13" s="11">
        <f t="shared" ref="H13:H17" si="7">IF(OR(AND(G13,NOT(D13)),AND(NOT(G13),D13)),1,0)</f>
        <v>0</v>
      </c>
      <c r="I13" s="11">
        <f t="shared" ref="I13:I17" si="8">IF(OR(AND(H13,NOT(E13)),AND(NOT(H13),E13)),1,0)</f>
        <v>0</v>
      </c>
      <c r="J13" s="22">
        <f t="shared" si="3"/>
        <v>4</v>
      </c>
      <c r="K13" s="22">
        <f t="shared" si="4"/>
        <v>16</v>
      </c>
    </row>
    <row r="14" spans="1:13" x14ac:dyDescent="0.2">
      <c r="A14" s="1">
        <v>2</v>
      </c>
      <c r="B14" s="31">
        <v>1</v>
      </c>
      <c r="C14" s="38">
        <v>1</v>
      </c>
      <c r="D14" s="32">
        <v>1</v>
      </c>
      <c r="E14" s="33">
        <v>0</v>
      </c>
      <c r="F14" s="34">
        <f t="shared" si="5"/>
        <v>1</v>
      </c>
      <c r="G14" s="24">
        <f t="shared" si="6"/>
        <v>0</v>
      </c>
      <c r="H14" s="24">
        <f t="shared" si="7"/>
        <v>1</v>
      </c>
      <c r="I14" s="24">
        <f t="shared" si="8"/>
        <v>1</v>
      </c>
      <c r="J14" s="35">
        <f t="shared" si="3"/>
        <v>11</v>
      </c>
      <c r="K14" s="35">
        <f t="shared" si="4"/>
        <v>121</v>
      </c>
    </row>
    <row r="15" spans="1:13" ht="16" thickBot="1" x14ac:dyDescent="0.25">
      <c r="A15" s="1"/>
      <c r="B15" s="36">
        <v>0</v>
      </c>
      <c r="C15" s="26">
        <v>0</v>
      </c>
      <c r="D15" s="25">
        <v>1</v>
      </c>
      <c r="E15" s="37">
        <v>0</v>
      </c>
      <c r="F15" s="10">
        <f t="shared" si="5"/>
        <v>0</v>
      </c>
      <c r="G15" s="11">
        <f t="shared" si="6"/>
        <v>0</v>
      </c>
      <c r="H15" s="11">
        <f t="shared" si="7"/>
        <v>1</v>
      </c>
      <c r="I15" s="11">
        <f t="shared" si="8"/>
        <v>1</v>
      </c>
      <c r="J15" s="22">
        <f t="shared" si="3"/>
        <v>3</v>
      </c>
      <c r="K15" s="22">
        <f t="shared" si="4"/>
        <v>9</v>
      </c>
    </row>
    <row r="16" spans="1:13" x14ac:dyDescent="0.2">
      <c r="A16" s="1">
        <v>3</v>
      </c>
      <c r="B16" s="31">
        <v>1</v>
      </c>
      <c r="C16" s="38">
        <v>1</v>
      </c>
      <c r="D16" s="38">
        <v>1</v>
      </c>
      <c r="E16" s="33">
        <v>0</v>
      </c>
      <c r="F16" s="34">
        <f t="shared" si="5"/>
        <v>1</v>
      </c>
      <c r="G16" s="24">
        <f t="shared" si="6"/>
        <v>0</v>
      </c>
      <c r="H16" s="24">
        <f t="shared" si="7"/>
        <v>1</v>
      </c>
      <c r="I16" s="24">
        <f t="shared" si="8"/>
        <v>1</v>
      </c>
      <c r="J16" s="35">
        <f t="shared" si="3"/>
        <v>11</v>
      </c>
      <c r="K16" s="35">
        <f t="shared" si="4"/>
        <v>121</v>
      </c>
    </row>
    <row r="17" spans="1:12" ht="16" thickBot="1" x14ac:dyDescent="0.25">
      <c r="A17" s="1"/>
      <c r="B17" s="36">
        <v>0</v>
      </c>
      <c r="C17" s="26">
        <v>0</v>
      </c>
      <c r="D17" s="26">
        <v>1</v>
      </c>
      <c r="E17" s="37">
        <v>0</v>
      </c>
      <c r="F17" s="10">
        <f t="shared" si="5"/>
        <v>0</v>
      </c>
      <c r="G17" s="11">
        <f t="shared" si="6"/>
        <v>0</v>
      </c>
      <c r="H17" s="11">
        <f t="shared" si="7"/>
        <v>1</v>
      </c>
      <c r="I17" s="11">
        <f t="shared" si="8"/>
        <v>1</v>
      </c>
      <c r="J17" s="22">
        <f t="shared" si="3"/>
        <v>3</v>
      </c>
      <c r="K17" s="22">
        <f t="shared" si="4"/>
        <v>9</v>
      </c>
    </row>
    <row r="18" spans="1:12" x14ac:dyDescent="0.2">
      <c r="J18" s="1" t="s">
        <v>37</v>
      </c>
      <c r="K18" s="21">
        <f>AVERAGE(K12:K17)</f>
        <v>70</v>
      </c>
      <c r="L18">
        <f>VAR(K12:K17)</f>
        <v>4207.2</v>
      </c>
    </row>
    <row r="19" spans="1:12" x14ac:dyDescent="0.2">
      <c r="J19" s="1"/>
      <c r="K19" s="1"/>
    </row>
    <row r="20" spans="1:12" x14ac:dyDescent="0.2">
      <c r="A20" s="92" t="s">
        <v>90</v>
      </c>
      <c r="B20" s="92"/>
      <c r="C20" s="92"/>
      <c r="D20" s="92"/>
      <c r="E20" s="92"/>
    </row>
    <row r="21" spans="1:12" ht="16" thickBot="1" x14ac:dyDescent="0.25">
      <c r="A21" t="s">
        <v>88</v>
      </c>
    </row>
    <row r="22" spans="1:12" ht="16" thickBot="1" x14ac:dyDescent="0.25">
      <c r="A22" s="1" t="s">
        <v>92</v>
      </c>
      <c r="B22" s="103" t="s">
        <v>95</v>
      </c>
      <c r="C22" s="104"/>
      <c r="D22" s="104"/>
      <c r="E22" s="104"/>
      <c r="F22" s="103" t="s">
        <v>96</v>
      </c>
      <c r="G22" s="104"/>
      <c r="H22" s="104"/>
      <c r="I22" s="105"/>
      <c r="J22" s="20" t="s">
        <v>8</v>
      </c>
      <c r="K22" s="20" t="s">
        <v>24</v>
      </c>
    </row>
    <row r="23" spans="1:12" x14ac:dyDescent="0.2">
      <c r="A23" s="1" t="s">
        <v>33</v>
      </c>
      <c r="B23" s="40">
        <v>0</v>
      </c>
      <c r="C23" s="38">
        <v>1</v>
      </c>
      <c r="D23" s="32">
        <v>1</v>
      </c>
      <c r="E23" s="33">
        <v>0</v>
      </c>
      <c r="F23" s="34">
        <f>B23</f>
        <v>0</v>
      </c>
      <c r="G23" s="24">
        <f>IF(OR(AND(F23,NOT(C23)),AND(NOT(F23),C23)),1,0)</f>
        <v>1</v>
      </c>
      <c r="H23" s="24">
        <f t="shared" ref="H23:H28" si="9">IF(OR(AND(G23,NOT(D23)),AND(NOT(G23),D23)),1,0)</f>
        <v>0</v>
      </c>
      <c r="I23" s="24">
        <f t="shared" ref="I23:I28" si="10">IF(OR(AND(H23,NOT(E23)),AND(NOT(H23),E23)),1,0)</f>
        <v>0</v>
      </c>
      <c r="J23" s="35">
        <f t="shared" ref="J23:J28" si="11">8*F23+4*G23+2*H23+1*I23</f>
        <v>4</v>
      </c>
      <c r="K23" s="35">
        <f t="shared" ref="K23:K28" si="12">J23^2</f>
        <v>16</v>
      </c>
    </row>
    <row r="24" spans="1:12" ht="16" thickBot="1" x14ac:dyDescent="0.25">
      <c r="A24" s="1"/>
      <c r="B24" s="39">
        <v>1</v>
      </c>
      <c r="C24" s="26">
        <v>0</v>
      </c>
      <c r="D24" s="25">
        <v>1</v>
      </c>
      <c r="E24" s="37">
        <v>0</v>
      </c>
      <c r="F24" s="10">
        <f t="shared" ref="F24:F28" si="13">B24</f>
        <v>1</v>
      </c>
      <c r="G24" s="11">
        <f t="shared" ref="G24:G28" si="14">IF(OR(AND(F24,NOT(C24)),AND(NOT(F24),C24)),1,0)</f>
        <v>1</v>
      </c>
      <c r="H24" s="11">
        <f t="shared" si="9"/>
        <v>0</v>
      </c>
      <c r="I24" s="11">
        <f t="shared" si="10"/>
        <v>0</v>
      </c>
      <c r="J24" s="22">
        <f t="shared" si="11"/>
        <v>12</v>
      </c>
      <c r="K24" s="22">
        <f t="shared" si="12"/>
        <v>144</v>
      </c>
    </row>
    <row r="25" spans="1:12" x14ac:dyDescent="0.2">
      <c r="A25" s="1" t="s">
        <v>34</v>
      </c>
      <c r="B25" s="40">
        <v>0</v>
      </c>
      <c r="C25" s="38">
        <v>1</v>
      </c>
      <c r="D25" s="38">
        <v>1</v>
      </c>
      <c r="E25" s="33">
        <v>0</v>
      </c>
      <c r="F25" s="34">
        <f t="shared" si="13"/>
        <v>0</v>
      </c>
      <c r="G25" s="24">
        <f t="shared" si="14"/>
        <v>1</v>
      </c>
      <c r="H25" s="24">
        <f t="shared" si="9"/>
        <v>0</v>
      </c>
      <c r="I25" s="24">
        <f t="shared" si="10"/>
        <v>0</v>
      </c>
      <c r="J25" s="35">
        <f t="shared" si="11"/>
        <v>4</v>
      </c>
      <c r="K25" s="35">
        <f t="shared" si="12"/>
        <v>16</v>
      </c>
    </row>
    <row r="26" spans="1:12" ht="16" thickBot="1" x14ac:dyDescent="0.25">
      <c r="A26" s="1"/>
      <c r="B26" s="39">
        <v>1</v>
      </c>
      <c r="C26" s="26">
        <v>0</v>
      </c>
      <c r="D26" s="26">
        <v>1</v>
      </c>
      <c r="E26" s="37">
        <v>0</v>
      </c>
      <c r="F26" s="10">
        <f t="shared" si="13"/>
        <v>1</v>
      </c>
      <c r="G26" s="11">
        <f t="shared" si="14"/>
        <v>1</v>
      </c>
      <c r="H26" s="11">
        <f t="shared" si="9"/>
        <v>0</v>
      </c>
      <c r="I26" s="11">
        <f t="shared" si="10"/>
        <v>0</v>
      </c>
      <c r="J26" s="22">
        <f t="shared" si="11"/>
        <v>12</v>
      </c>
      <c r="K26" s="22">
        <f t="shared" si="12"/>
        <v>144</v>
      </c>
    </row>
    <row r="27" spans="1:12" x14ac:dyDescent="0.2">
      <c r="A27" s="1" t="s">
        <v>35</v>
      </c>
      <c r="B27" s="40">
        <v>0</v>
      </c>
      <c r="C27" s="32">
        <v>0</v>
      </c>
      <c r="D27" s="38">
        <v>1</v>
      </c>
      <c r="E27" s="33">
        <v>0</v>
      </c>
      <c r="F27" s="34">
        <f t="shared" si="13"/>
        <v>0</v>
      </c>
      <c r="G27" s="24">
        <f t="shared" si="14"/>
        <v>0</v>
      </c>
      <c r="H27" s="24">
        <f t="shared" si="9"/>
        <v>1</v>
      </c>
      <c r="I27" s="24">
        <f t="shared" si="10"/>
        <v>1</v>
      </c>
      <c r="J27" s="35">
        <f t="shared" si="11"/>
        <v>3</v>
      </c>
      <c r="K27" s="35">
        <f t="shared" si="12"/>
        <v>9</v>
      </c>
    </row>
    <row r="28" spans="1:12" ht="16" thickBot="1" x14ac:dyDescent="0.25">
      <c r="A28" s="1"/>
      <c r="B28" s="39">
        <v>1</v>
      </c>
      <c r="C28" s="25">
        <v>1</v>
      </c>
      <c r="D28" s="26">
        <v>1</v>
      </c>
      <c r="E28" s="37">
        <v>0</v>
      </c>
      <c r="F28" s="10">
        <f t="shared" si="13"/>
        <v>1</v>
      </c>
      <c r="G28" s="11">
        <f t="shared" si="14"/>
        <v>0</v>
      </c>
      <c r="H28" s="11">
        <f t="shared" si="9"/>
        <v>1</v>
      </c>
      <c r="I28" s="11">
        <f t="shared" si="10"/>
        <v>1</v>
      </c>
      <c r="J28" s="22">
        <f t="shared" si="11"/>
        <v>11</v>
      </c>
      <c r="K28" s="22">
        <f t="shared" si="12"/>
        <v>121</v>
      </c>
    </row>
    <row r="29" spans="1:12" x14ac:dyDescent="0.2">
      <c r="J29" s="1" t="s">
        <v>37</v>
      </c>
      <c r="K29" s="21">
        <f>AVERAGE(K23:K28)</f>
        <v>75</v>
      </c>
      <c r="L29">
        <f>VAR(K23:K28)</f>
        <v>4591.2</v>
      </c>
    </row>
    <row r="30" spans="1:12" x14ac:dyDescent="0.2">
      <c r="J30" s="1"/>
      <c r="K30" s="1"/>
    </row>
    <row r="31" spans="1:12" x14ac:dyDescent="0.2">
      <c r="A31" s="92" t="s">
        <v>94</v>
      </c>
      <c r="B31" s="92"/>
      <c r="C31" s="92"/>
      <c r="D31" s="92"/>
      <c r="E31" s="92"/>
    </row>
    <row r="32" spans="1:12" ht="16" thickBot="1" x14ac:dyDescent="0.25">
      <c r="A32" t="s">
        <v>93</v>
      </c>
    </row>
    <row r="33" spans="1:11" ht="16" thickBot="1" x14ac:dyDescent="0.25">
      <c r="A33" s="1" t="s">
        <v>97</v>
      </c>
      <c r="B33" s="103" t="s">
        <v>95</v>
      </c>
      <c r="C33" s="104"/>
      <c r="D33" s="104"/>
      <c r="E33" s="104"/>
      <c r="F33" s="103" t="s">
        <v>96</v>
      </c>
      <c r="G33" s="104"/>
      <c r="H33" s="104"/>
      <c r="I33" s="105"/>
      <c r="J33" s="20" t="s">
        <v>8</v>
      </c>
      <c r="K33" s="20" t="s">
        <v>24</v>
      </c>
    </row>
    <row r="34" spans="1:11" x14ac:dyDescent="0.2">
      <c r="A34" s="1">
        <v>1</v>
      </c>
      <c r="B34" s="40">
        <v>0</v>
      </c>
      <c r="C34" s="32">
        <v>0</v>
      </c>
      <c r="D34" s="32">
        <v>1</v>
      </c>
      <c r="E34" s="33">
        <v>0</v>
      </c>
      <c r="F34" s="34">
        <f>B34</f>
        <v>0</v>
      </c>
      <c r="G34" s="24">
        <f>IF(OR(AND(F34,NOT(C34)),AND(NOT(F34),C34)),1,0)</f>
        <v>0</v>
      </c>
      <c r="H34" s="24">
        <f t="shared" ref="H34:H35" si="15">IF(OR(AND(G34,NOT(D34)),AND(NOT(G34),D34)),1,0)</f>
        <v>1</v>
      </c>
      <c r="I34" s="24">
        <f t="shared" ref="I34:I35" si="16">IF(OR(AND(H34,NOT(E34)),AND(NOT(H34),E34)),1,0)</f>
        <v>1</v>
      </c>
      <c r="J34" s="35">
        <f>8*F34+4*G34+2*H34+1*I34</f>
        <v>3</v>
      </c>
      <c r="K34" s="35">
        <f>J34^2</f>
        <v>9</v>
      </c>
    </row>
    <row r="35" spans="1:11" ht="16" thickBot="1" x14ac:dyDescent="0.25">
      <c r="A35" s="1"/>
      <c r="B35" s="39">
        <v>1</v>
      </c>
      <c r="C35" s="25">
        <v>1</v>
      </c>
      <c r="D35" s="25">
        <v>1</v>
      </c>
      <c r="E35" s="37">
        <v>0</v>
      </c>
      <c r="F35" s="10">
        <f t="shared" ref="F35" si="17">B35</f>
        <v>1</v>
      </c>
      <c r="G35" s="11">
        <f t="shared" ref="G35" si="18">IF(OR(AND(F35,NOT(C35)),AND(NOT(F35),C35)),1,0)</f>
        <v>0</v>
      </c>
      <c r="H35" s="11">
        <f t="shared" si="15"/>
        <v>1</v>
      </c>
      <c r="I35" s="11">
        <f t="shared" si="16"/>
        <v>1</v>
      </c>
      <c r="J35" s="22">
        <f>8*F35+4*G35+2*H35+1*I35</f>
        <v>11</v>
      </c>
      <c r="K35" s="22">
        <f>J35^2</f>
        <v>121</v>
      </c>
    </row>
    <row r="36" spans="1:11" ht="16" thickBot="1" x14ac:dyDescent="0.25">
      <c r="A36" s="1"/>
      <c r="B36" s="27">
        <v>0</v>
      </c>
      <c r="C36" s="28">
        <v>0</v>
      </c>
      <c r="D36" s="28">
        <v>0</v>
      </c>
      <c r="E36" s="29">
        <v>0</v>
      </c>
      <c r="F36" s="9"/>
      <c r="G36" s="1"/>
      <c r="H36" s="1"/>
      <c r="I36" s="1"/>
      <c r="J36" s="21"/>
      <c r="K36" s="21"/>
    </row>
    <row r="37" spans="1:11" x14ac:dyDescent="0.2">
      <c r="A37" s="1">
        <v>2</v>
      </c>
      <c r="B37" s="40">
        <v>0</v>
      </c>
      <c r="C37" s="32">
        <v>0</v>
      </c>
      <c r="D37" s="32">
        <v>1</v>
      </c>
      <c r="E37" s="41">
        <v>0</v>
      </c>
      <c r="F37" s="34">
        <f>B37</f>
        <v>0</v>
      </c>
      <c r="G37" s="24">
        <f>IF(OR(AND(F37,NOT(C37)),AND(NOT(F37),C37)),1,0)</f>
        <v>0</v>
      </c>
      <c r="H37" s="24">
        <f t="shared" ref="H37:H38" si="19">IF(OR(AND(G37,NOT(D37)),AND(NOT(G37),D37)),1,0)</f>
        <v>1</v>
      </c>
      <c r="I37" s="24">
        <f t="shared" ref="I37:I38" si="20">IF(OR(AND(H37,NOT(E37)),AND(NOT(H37),E37)),1,0)</f>
        <v>1</v>
      </c>
      <c r="J37" s="35">
        <f>8*F37+4*G37+2*H37+1*I37</f>
        <v>3</v>
      </c>
      <c r="K37" s="35">
        <f>J37^2</f>
        <v>9</v>
      </c>
    </row>
    <row r="38" spans="1:11" ht="16" thickBot="1" x14ac:dyDescent="0.25">
      <c r="A38" s="1"/>
      <c r="B38" s="39">
        <v>1</v>
      </c>
      <c r="C38" s="25">
        <v>1</v>
      </c>
      <c r="D38" s="25">
        <v>1</v>
      </c>
      <c r="E38" s="43">
        <v>0</v>
      </c>
      <c r="F38" s="10">
        <f t="shared" ref="F38" si="21">B38</f>
        <v>1</v>
      </c>
      <c r="G38" s="11">
        <f t="shared" ref="G38" si="22">IF(OR(AND(F38,NOT(C38)),AND(NOT(F38),C38)),1,0)</f>
        <v>0</v>
      </c>
      <c r="H38" s="11">
        <f t="shared" si="19"/>
        <v>1</v>
      </c>
      <c r="I38" s="11">
        <f t="shared" si="20"/>
        <v>1</v>
      </c>
      <c r="J38" s="22">
        <f>8*F38+4*G38+2*H38+1*I38</f>
        <v>11</v>
      </c>
      <c r="K38" s="22">
        <f>J38^2</f>
        <v>121</v>
      </c>
    </row>
    <row r="39" spans="1:11" ht="16" thickBot="1" x14ac:dyDescent="0.25">
      <c r="A39" s="1"/>
      <c r="B39" s="27">
        <v>0</v>
      </c>
      <c r="C39" s="28">
        <v>0</v>
      </c>
      <c r="D39" s="28">
        <v>0</v>
      </c>
      <c r="E39" s="29">
        <v>1</v>
      </c>
      <c r="F39" s="9"/>
      <c r="G39" s="1"/>
      <c r="H39" s="1"/>
      <c r="I39" s="1"/>
      <c r="J39" s="21"/>
      <c r="K39" s="21"/>
    </row>
    <row r="40" spans="1:11" x14ac:dyDescent="0.2">
      <c r="A40" s="1">
        <v>3</v>
      </c>
      <c r="B40" s="40">
        <v>0</v>
      </c>
      <c r="C40" s="32">
        <v>0</v>
      </c>
      <c r="D40" s="38">
        <v>1</v>
      </c>
      <c r="E40" s="33">
        <v>0</v>
      </c>
      <c r="F40" s="34">
        <f>B40</f>
        <v>0</v>
      </c>
      <c r="G40" s="24">
        <f>IF(OR(AND(F40,NOT(C40)),AND(NOT(F40),C40)),1,0)</f>
        <v>0</v>
      </c>
      <c r="H40" s="24">
        <f t="shared" ref="H40:H41" si="23">IF(OR(AND(G40,NOT(D40)),AND(NOT(G40),D40)),1,0)</f>
        <v>1</v>
      </c>
      <c r="I40" s="24">
        <f t="shared" ref="I40:I41" si="24">IF(OR(AND(H40,NOT(E40)),AND(NOT(H40),E40)),1,0)</f>
        <v>1</v>
      </c>
      <c r="J40" s="35">
        <f>8*F40+4*G40+2*H40+1*I40</f>
        <v>3</v>
      </c>
      <c r="K40" s="35">
        <f>J40^2</f>
        <v>9</v>
      </c>
    </row>
    <row r="41" spans="1:11" ht="16" thickBot="1" x14ac:dyDescent="0.25">
      <c r="A41" s="1"/>
      <c r="B41" s="39">
        <v>1</v>
      </c>
      <c r="C41" s="25">
        <v>1</v>
      </c>
      <c r="D41" s="26">
        <v>1</v>
      </c>
      <c r="E41" s="37">
        <v>0</v>
      </c>
      <c r="F41" s="10">
        <f t="shared" ref="F41" si="25">B41</f>
        <v>1</v>
      </c>
      <c r="G41" s="11">
        <f t="shared" ref="G41" si="26">IF(OR(AND(F41,NOT(C41)),AND(NOT(F41),C41)),1,0)</f>
        <v>0</v>
      </c>
      <c r="H41" s="11">
        <f t="shared" si="23"/>
        <v>1</v>
      </c>
      <c r="I41" s="11">
        <f t="shared" si="24"/>
        <v>1</v>
      </c>
      <c r="J41" s="22">
        <f>8*F41+4*G41+2*H41+1*I41</f>
        <v>11</v>
      </c>
      <c r="K41" s="22">
        <f>J41^2</f>
        <v>121</v>
      </c>
    </row>
    <row r="42" spans="1:11" ht="16" thickBot="1" x14ac:dyDescent="0.25">
      <c r="A42" s="1"/>
      <c r="B42" s="27">
        <v>0</v>
      </c>
      <c r="C42" s="28">
        <v>0</v>
      </c>
      <c r="D42" s="28">
        <v>1</v>
      </c>
      <c r="E42" s="29">
        <v>0</v>
      </c>
      <c r="F42" s="9"/>
      <c r="G42" s="1"/>
      <c r="H42" s="1"/>
      <c r="I42" s="1"/>
      <c r="J42" s="21"/>
      <c r="K42" s="21"/>
    </row>
    <row r="43" spans="1:11" x14ac:dyDescent="0.2">
      <c r="A43" s="1">
        <v>4</v>
      </c>
      <c r="B43" s="40">
        <v>0</v>
      </c>
      <c r="C43" s="32">
        <v>0</v>
      </c>
      <c r="D43" s="38">
        <v>1</v>
      </c>
      <c r="E43" s="41">
        <v>0</v>
      </c>
      <c r="F43" s="34">
        <f>B43</f>
        <v>0</v>
      </c>
      <c r="G43" s="24">
        <f>IF(OR(AND(F43,NOT(C43)),AND(NOT(F43),C43)),1,0)</f>
        <v>0</v>
      </c>
      <c r="H43" s="24">
        <f t="shared" ref="H43:H44" si="27">IF(OR(AND(G43,NOT(D43)),AND(NOT(G43),D43)),1,0)</f>
        <v>1</v>
      </c>
      <c r="I43" s="24">
        <f t="shared" ref="I43:I44" si="28">IF(OR(AND(H43,NOT(E43)),AND(NOT(H43),E43)),1,0)</f>
        <v>1</v>
      </c>
      <c r="J43" s="35">
        <f>8*F43+4*G43+2*H43+1*I43</f>
        <v>3</v>
      </c>
      <c r="K43" s="35">
        <f>J43^2</f>
        <v>9</v>
      </c>
    </row>
    <row r="44" spans="1:11" ht="16" thickBot="1" x14ac:dyDescent="0.25">
      <c r="A44" s="1"/>
      <c r="B44" s="39">
        <v>1</v>
      </c>
      <c r="C44" s="25">
        <v>1</v>
      </c>
      <c r="D44" s="26">
        <v>1</v>
      </c>
      <c r="E44" s="43">
        <v>0</v>
      </c>
      <c r="F44" s="10">
        <f t="shared" ref="F44" si="29">B44</f>
        <v>1</v>
      </c>
      <c r="G44" s="11">
        <f t="shared" ref="G44" si="30">IF(OR(AND(F44,NOT(C44)),AND(NOT(F44),C44)),1,0)</f>
        <v>0</v>
      </c>
      <c r="H44" s="11">
        <f t="shared" si="27"/>
        <v>1</v>
      </c>
      <c r="I44" s="11">
        <f t="shared" si="28"/>
        <v>1</v>
      </c>
      <c r="J44" s="22">
        <f>8*F44+4*G44+2*H44+1*I44</f>
        <v>11</v>
      </c>
      <c r="K44" s="22">
        <f>J44^2</f>
        <v>121</v>
      </c>
    </row>
    <row r="45" spans="1:11" ht="16" thickBot="1" x14ac:dyDescent="0.25">
      <c r="A45" s="1"/>
      <c r="B45" s="27">
        <v>0</v>
      </c>
      <c r="C45" s="28">
        <v>0</v>
      </c>
      <c r="D45" s="28">
        <v>1</v>
      </c>
      <c r="E45" s="29">
        <v>1</v>
      </c>
      <c r="F45" s="9"/>
      <c r="G45" s="1"/>
      <c r="H45" s="1"/>
      <c r="I45" s="1"/>
      <c r="J45" s="21"/>
      <c r="K45" s="21"/>
    </row>
    <row r="46" spans="1:11" x14ac:dyDescent="0.2">
      <c r="A46" s="1">
        <v>5</v>
      </c>
      <c r="B46" s="40">
        <v>0</v>
      </c>
      <c r="C46" s="38">
        <v>1</v>
      </c>
      <c r="D46" s="32">
        <v>1</v>
      </c>
      <c r="E46" s="33">
        <v>0</v>
      </c>
      <c r="F46" s="34">
        <f>B46</f>
        <v>0</v>
      </c>
      <c r="G46" s="24">
        <f>IF(OR(AND(F46,NOT(C46)),AND(NOT(F46),C46)),1,0)</f>
        <v>1</v>
      </c>
      <c r="H46" s="24">
        <f t="shared" ref="H46:H47" si="31">IF(OR(AND(G46,NOT(D46)),AND(NOT(G46),D46)),1,0)</f>
        <v>0</v>
      </c>
      <c r="I46" s="24">
        <f t="shared" ref="I46:I47" si="32">IF(OR(AND(H46,NOT(E46)),AND(NOT(H46),E46)),1,0)</f>
        <v>0</v>
      </c>
      <c r="J46" s="35">
        <f>8*F46+4*G46+2*H46+1*I46</f>
        <v>4</v>
      </c>
      <c r="K46" s="35">
        <f>J46^2</f>
        <v>16</v>
      </c>
    </row>
    <row r="47" spans="1:11" ht="16" thickBot="1" x14ac:dyDescent="0.25">
      <c r="A47" s="1"/>
      <c r="B47" s="39">
        <v>1</v>
      </c>
      <c r="C47" s="26">
        <v>0</v>
      </c>
      <c r="D47" s="25">
        <v>1</v>
      </c>
      <c r="E47" s="37">
        <v>0</v>
      </c>
      <c r="F47" s="10">
        <f t="shared" ref="F47" si="33">B47</f>
        <v>1</v>
      </c>
      <c r="G47" s="11">
        <f t="shared" ref="G47" si="34">IF(OR(AND(F47,NOT(C47)),AND(NOT(F47),C47)),1,0)</f>
        <v>1</v>
      </c>
      <c r="H47" s="11">
        <f t="shared" si="31"/>
        <v>0</v>
      </c>
      <c r="I47" s="11">
        <f t="shared" si="32"/>
        <v>0</v>
      </c>
      <c r="J47" s="22">
        <f>8*F47+4*G47+2*H47+1*I47</f>
        <v>12</v>
      </c>
      <c r="K47" s="22">
        <f>J47^2</f>
        <v>144</v>
      </c>
    </row>
    <row r="48" spans="1:11" ht="16" thickBot="1" x14ac:dyDescent="0.25">
      <c r="A48" s="1"/>
      <c r="B48" s="27">
        <v>0</v>
      </c>
      <c r="C48" s="28">
        <v>1</v>
      </c>
      <c r="D48" s="28">
        <v>0</v>
      </c>
      <c r="E48" s="29">
        <v>0</v>
      </c>
      <c r="F48" s="9"/>
      <c r="G48" s="1"/>
      <c r="H48" s="1"/>
      <c r="I48" s="1"/>
      <c r="J48" s="21"/>
      <c r="K48" s="21"/>
    </row>
    <row r="49" spans="1:11" x14ac:dyDescent="0.2">
      <c r="A49" s="1">
        <v>6</v>
      </c>
      <c r="B49" s="40">
        <v>0</v>
      </c>
      <c r="C49" s="38">
        <v>1</v>
      </c>
      <c r="D49" s="32">
        <v>1</v>
      </c>
      <c r="E49" s="41">
        <v>0</v>
      </c>
      <c r="F49" s="34">
        <f>B49</f>
        <v>0</v>
      </c>
      <c r="G49" s="24">
        <f>IF(OR(AND(F49,NOT(C49)),AND(NOT(F49),C49)),1,0)</f>
        <v>1</v>
      </c>
      <c r="H49" s="24">
        <f t="shared" ref="H49:H50" si="35">IF(OR(AND(G49,NOT(D49)),AND(NOT(G49),D49)),1,0)</f>
        <v>0</v>
      </c>
      <c r="I49" s="24">
        <f t="shared" ref="I49:I50" si="36">IF(OR(AND(H49,NOT(E49)),AND(NOT(H49),E49)),1,0)</f>
        <v>0</v>
      </c>
      <c r="J49" s="35">
        <f>8*F49+4*G49+2*H49+1*I49</f>
        <v>4</v>
      </c>
      <c r="K49" s="35">
        <f>J49^2</f>
        <v>16</v>
      </c>
    </row>
    <row r="50" spans="1:11" ht="16" thickBot="1" x14ac:dyDescent="0.25">
      <c r="A50" s="1"/>
      <c r="B50" s="39">
        <v>1</v>
      </c>
      <c r="C50" s="26">
        <v>1</v>
      </c>
      <c r="D50" s="25">
        <v>1</v>
      </c>
      <c r="E50" s="43">
        <v>0</v>
      </c>
      <c r="F50" s="10">
        <f t="shared" ref="F50" si="37">B50</f>
        <v>1</v>
      </c>
      <c r="G50" s="11">
        <f t="shared" ref="G50" si="38">IF(OR(AND(F50,NOT(C50)),AND(NOT(F50),C50)),1,0)</f>
        <v>0</v>
      </c>
      <c r="H50" s="11">
        <f t="shared" si="35"/>
        <v>1</v>
      </c>
      <c r="I50" s="11">
        <f t="shared" si="36"/>
        <v>1</v>
      </c>
      <c r="J50" s="22">
        <f>8*F50+4*G50+2*H50+1*I50</f>
        <v>11</v>
      </c>
      <c r="K50" s="22">
        <f>J50^2</f>
        <v>121</v>
      </c>
    </row>
    <row r="51" spans="1:11" ht="16" thickBot="1" x14ac:dyDescent="0.25">
      <c r="A51" s="1"/>
      <c r="B51" s="27">
        <v>0</v>
      </c>
      <c r="C51" s="28">
        <v>1</v>
      </c>
      <c r="D51" s="28">
        <v>0</v>
      </c>
      <c r="E51" s="29">
        <v>1</v>
      </c>
      <c r="F51" s="9"/>
      <c r="G51" s="1"/>
      <c r="H51" s="1"/>
      <c r="I51" s="1"/>
      <c r="J51" s="21"/>
      <c r="K51" s="21"/>
    </row>
    <row r="52" spans="1:11" x14ac:dyDescent="0.2">
      <c r="A52" s="1">
        <v>7</v>
      </c>
      <c r="B52" s="40">
        <v>0</v>
      </c>
      <c r="C52" s="38">
        <v>1</v>
      </c>
      <c r="D52" s="38">
        <v>1</v>
      </c>
      <c r="E52" s="33">
        <v>0</v>
      </c>
      <c r="F52" s="34">
        <f>B52</f>
        <v>0</v>
      </c>
      <c r="G52" s="24">
        <f>IF(OR(AND(F52,NOT(C52)),AND(NOT(F52),C52)),1,0)</f>
        <v>1</v>
      </c>
      <c r="H52" s="24">
        <f t="shared" ref="H52:H53" si="39">IF(OR(AND(G52,NOT(D52)),AND(NOT(G52),D52)),1,0)</f>
        <v>0</v>
      </c>
      <c r="I52" s="24">
        <f t="shared" ref="I52:I53" si="40">IF(OR(AND(H52,NOT(E52)),AND(NOT(H52),E52)),1,0)</f>
        <v>0</v>
      </c>
      <c r="J52" s="35">
        <f>8*F52+4*G52+2*H52+1*I52</f>
        <v>4</v>
      </c>
      <c r="K52" s="35">
        <f>J52^2</f>
        <v>16</v>
      </c>
    </row>
    <row r="53" spans="1:11" ht="16" thickBot="1" x14ac:dyDescent="0.25">
      <c r="A53" s="1"/>
      <c r="B53" s="39">
        <v>1</v>
      </c>
      <c r="C53" s="26">
        <v>1</v>
      </c>
      <c r="D53" s="26">
        <v>1</v>
      </c>
      <c r="E53" s="37">
        <v>0</v>
      </c>
      <c r="F53" s="10">
        <f t="shared" ref="F53" si="41">B53</f>
        <v>1</v>
      </c>
      <c r="G53" s="11">
        <f t="shared" ref="G53" si="42">IF(OR(AND(F53,NOT(C53)),AND(NOT(F53),C53)),1,0)</f>
        <v>0</v>
      </c>
      <c r="H53" s="11">
        <f t="shared" si="39"/>
        <v>1</v>
      </c>
      <c r="I53" s="11">
        <f t="shared" si="40"/>
        <v>1</v>
      </c>
      <c r="J53" s="22">
        <f>8*F53+4*G53+2*H53+1*I53</f>
        <v>11</v>
      </c>
      <c r="K53" s="22">
        <f>J53^2</f>
        <v>121</v>
      </c>
    </row>
    <row r="54" spans="1:11" ht="16" thickBot="1" x14ac:dyDescent="0.25">
      <c r="A54" s="1"/>
      <c r="B54" s="27">
        <v>0</v>
      </c>
      <c r="C54" s="28">
        <v>1</v>
      </c>
      <c r="D54" s="28">
        <v>1</v>
      </c>
      <c r="E54" s="29">
        <v>0</v>
      </c>
      <c r="F54" s="9"/>
      <c r="G54" s="1"/>
      <c r="H54" s="1"/>
      <c r="I54" s="1"/>
      <c r="J54" s="21"/>
      <c r="K54" s="21"/>
    </row>
    <row r="55" spans="1:11" x14ac:dyDescent="0.2">
      <c r="A55" s="1">
        <v>8</v>
      </c>
      <c r="B55" s="40">
        <v>0</v>
      </c>
      <c r="C55" s="38">
        <v>1</v>
      </c>
      <c r="D55" s="38">
        <v>1</v>
      </c>
      <c r="E55" s="41">
        <v>0</v>
      </c>
      <c r="F55" s="34">
        <f>B55</f>
        <v>0</v>
      </c>
      <c r="G55" s="24">
        <f>IF(OR(AND(F55,NOT(C55)),AND(NOT(F55),C55)),1,0)</f>
        <v>1</v>
      </c>
      <c r="H55" s="24">
        <f t="shared" ref="H55:H56" si="43">IF(OR(AND(G55,NOT(D55)),AND(NOT(G55),D55)),1,0)</f>
        <v>0</v>
      </c>
      <c r="I55" s="24">
        <f t="shared" ref="I55:I56" si="44">IF(OR(AND(H55,NOT(E55)),AND(NOT(H55),E55)),1,0)</f>
        <v>0</v>
      </c>
      <c r="J55" s="35">
        <f>8*F55+4*G55+2*H55+1*I55</f>
        <v>4</v>
      </c>
      <c r="K55" s="35">
        <f>J55^2</f>
        <v>16</v>
      </c>
    </row>
    <row r="56" spans="1:11" ht="16" thickBot="1" x14ac:dyDescent="0.25">
      <c r="A56" s="1"/>
      <c r="B56" s="39">
        <v>1</v>
      </c>
      <c r="C56" s="26">
        <v>1</v>
      </c>
      <c r="D56" s="26">
        <v>1</v>
      </c>
      <c r="E56" s="43">
        <v>0</v>
      </c>
      <c r="F56" s="10">
        <f t="shared" ref="F56" si="45">B56</f>
        <v>1</v>
      </c>
      <c r="G56" s="11">
        <f t="shared" ref="G56" si="46">IF(OR(AND(F56,NOT(C56)),AND(NOT(F56),C56)),1,0)</f>
        <v>0</v>
      </c>
      <c r="H56" s="11">
        <f t="shared" si="43"/>
        <v>1</v>
      </c>
      <c r="I56" s="11">
        <f t="shared" si="44"/>
        <v>1</v>
      </c>
      <c r="J56" s="22">
        <f>8*F56+4*G56+2*H56+1*I56</f>
        <v>11</v>
      </c>
      <c r="K56" s="22">
        <f>J56^2</f>
        <v>121</v>
      </c>
    </row>
    <row r="57" spans="1:11" ht="16" thickBot="1" x14ac:dyDescent="0.25">
      <c r="A57" s="1"/>
      <c r="B57" s="27">
        <v>0</v>
      </c>
      <c r="C57" s="28">
        <v>1</v>
      </c>
      <c r="D57" s="28">
        <v>1</v>
      </c>
      <c r="E57" s="29">
        <v>1</v>
      </c>
      <c r="F57" s="9"/>
      <c r="G57" s="1"/>
      <c r="H57" s="1"/>
      <c r="I57" s="1"/>
      <c r="J57" s="21"/>
      <c r="K57" s="21"/>
    </row>
    <row r="58" spans="1:11" x14ac:dyDescent="0.2">
      <c r="A58" s="1">
        <v>9</v>
      </c>
      <c r="B58" s="31">
        <v>1</v>
      </c>
      <c r="C58" s="32">
        <v>0</v>
      </c>
      <c r="D58" s="32">
        <v>1</v>
      </c>
      <c r="E58" s="33">
        <v>0</v>
      </c>
      <c r="F58" s="34">
        <f>B58</f>
        <v>1</v>
      </c>
      <c r="G58" s="24">
        <f>IF(OR(AND(F58,NOT(C58)),AND(NOT(F58),C58)),1,0)</f>
        <v>1</v>
      </c>
      <c r="H58" s="24">
        <f t="shared" ref="H58:H59" si="47">IF(OR(AND(G58,NOT(D58)),AND(NOT(G58),D58)),1,0)</f>
        <v>0</v>
      </c>
      <c r="I58" s="24">
        <f t="shared" ref="I58:I59" si="48">IF(OR(AND(H58,NOT(E58)),AND(NOT(H58),E58)),1,0)</f>
        <v>0</v>
      </c>
      <c r="J58" s="35">
        <f>8*F58+4*G58+2*H58+1*I58</f>
        <v>12</v>
      </c>
      <c r="K58" s="35">
        <f>J58^2</f>
        <v>144</v>
      </c>
    </row>
    <row r="59" spans="1:11" ht="16" thickBot="1" x14ac:dyDescent="0.25">
      <c r="A59" s="1"/>
      <c r="B59" s="36">
        <v>0</v>
      </c>
      <c r="C59" s="25">
        <v>1</v>
      </c>
      <c r="D59" s="25">
        <v>1</v>
      </c>
      <c r="E59" s="37">
        <v>0</v>
      </c>
      <c r="F59" s="10">
        <f t="shared" ref="F59" si="49">B59</f>
        <v>0</v>
      </c>
      <c r="G59" s="11">
        <f t="shared" ref="G59" si="50">IF(OR(AND(F59,NOT(C59)),AND(NOT(F59),C59)),1,0)</f>
        <v>1</v>
      </c>
      <c r="H59" s="11">
        <f t="shared" si="47"/>
        <v>0</v>
      </c>
      <c r="I59" s="11">
        <f t="shared" si="48"/>
        <v>0</v>
      </c>
      <c r="J59" s="22">
        <f>8*F59+4*G59+2*H59+1*I59</f>
        <v>4</v>
      </c>
      <c r="K59" s="22">
        <f>J59^2</f>
        <v>16</v>
      </c>
    </row>
    <row r="60" spans="1:11" ht="16" thickBot="1" x14ac:dyDescent="0.25">
      <c r="A60" s="1"/>
      <c r="B60" s="27">
        <v>1</v>
      </c>
      <c r="C60" s="28">
        <v>0</v>
      </c>
      <c r="D60" s="28">
        <v>0</v>
      </c>
      <c r="E60" s="29">
        <v>0</v>
      </c>
      <c r="F60" s="9"/>
      <c r="G60" s="1"/>
      <c r="H60" s="1"/>
      <c r="I60" s="1"/>
      <c r="J60" s="21"/>
      <c r="K60" s="21"/>
    </row>
    <row r="61" spans="1:11" x14ac:dyDescent="0.2">
      <c r="A61" s="1">
        <v>10</v>
      </c>
      <c r="B61" s="31">
        <v>1</v>
      </c>
      <c r="C61" s="32">
        <v>0</v>
      </c>
      <c r="D61" s="32">
        <v>1</v>
      </c>
      <c r="E61" s="41">
        <v>0</v>
      </c>
      <c r="F61" s="34">
        <f>B61</f>
        <v>1</v>
      </c>
      <c r="G61" s="24">
        <f>IF(OR(AND(F61,NOT(C61)),AND(NOT(F61),C61)),1,0)</f>
        <v>1</v>
      </c>
      <c r="H61" s="24">
        <f t="shared" ref="H61:H62" si="51">IF(OR(AND(G61,NOT(D61)),AND(NOT(G61),D61)),1,0)</f>
        <v>0</v>
      </c>
      <c r="I61" s="24">
        <f t="shared" ref="I61:I62" si="52">IF(OR(AND(H61,NOT(E61)),AND(NOT(H61),E61)),1,0)</f>
        <v>0</v>
      </c>
      <c r="J61" s="35">
        <f>8*F61+4*G61+2*H61+1*I61</f>
        <v>12</v>
      </c>
      <c r="K61" s="35">
        <f>J61^2</f>
        <v>144</v>
      </c>
    </row>
    <row r="62" spans="1:11" ht="16" thickBot="1" x14ac:dyDescent="0.25">
      <c r="A62" s="1"/>
      <c r="B62" s="36">
        <v>0</v>
      </c>
      <c r="C62" s="25">
        <v>1</v>
      </c>
      <c r="D62" s="25">
        <v>1</v>
      </c>
      <c r="E62" s="43">
        <v>0</v>
      </c>
      <c r="F62" s="10">
        <f t="shared" ref="F62" si="53">B62</f>
        <v>0</v>
      </c>
      <c r="G62" s="11">
        <f t="shared" ref="G62" si="54">IF(OR(AND(F62,NOT(C62)),AND(NOT(F62),C62)),1,0)</f>
        <v>1</v>
      </c>
      <c r="H62" s="11">
        <f t="shared" si="51"/>
        <v>0</v>
      </c>
      <c r="I62" s="11">
        <f t="shared" si="52"/>
        <v>0</v>
      </c>
      <c r="J62" s="22">
        <f>8*F62+4*G62+2*H62+1*I62</f>
        <v>4</v>
      </c>
      <c r="K62" s="22">
        <f>J62^2</f>
        <v>16</v>
      </c>
    </row>
    <row r="63" spans="1:11" ht="16" thickBot="1" x14ac:dyDescent="0.25">
      <c r="A63" s="1"/>
      <c r="B63" s="27">
        <v>1</v>
      </c>
      <c r="C63" s="28">
        <v>0</v>
      </c>
      <c r="D63" s="28">
        <v>0</v>
      </c>
      <c r="E63" s="29">
        <v>1</v>
      </c>
      <c r="F63" s="9"/>
      <c r="G63" s="1"/>
      <c r="H63" s="1"/>
      <c r="I63" s="1"/>
      <c r="J63" s="21"/>
      <c r="K63" s="21"/>
    </row>
    <row r="64" spans="1:11" x14ac:dyDescent="0.2">
      <c r="A64" s="1">
        <v>11</v>
      </c>
      <c r="B64" s="31">
        <v>1</v>
      </c>
      <c r="C64" s="32">
        <v>0</v>
      </c>
      <c r="D64" s="38">
        <v>1</v>
      </c>
      <c r="E64" s="33">
        <v>0</v>
      </c>
      <c r="F64" s="34">
        <f>B64</f>
        <v>1</v>
      </c>
      <c r="G64" s="24">
        <f>IF(OR(AND(F64,NOT(C64)),AND(NOT(F64),C64)),1,0)</f>
        <v>1</v>
      </c>
      <c r="H64" s="24">
        <f t="shared" ref="H64:H65" si="55">IF(OR(AND(G64,NOT(D64)),AND(NOT(G64),D64)),1,0)</f>
        <v>0</v>
      </c>
      <c r="I64" s="24">
        <f t="shared" ref="I64:I65" si="56">IF(OR(AND(H64,NOT(E64)),AND(NOT(H64),E64)),1,0)</f>
        <v>0</v>
      </c>
      <c r="J64" s="35">
        <f>8*F64+4*G64+2*H64+1*I64</f>
        <v>12</v>
      </c>
      <c r="K64" s="35">
        <f>J64^2</f>
        <v>144</v>
      </c>
    </row>
    <row r="65" spans="1:11" ht="16" thickBot="1" x14ac:dyDescent="0.25">
      <c r="A65" s="1"/>
      <c r="B65" s="36">
        <v>0</v>
      </c>
      <c r="C65" s="25">
        <v>1</v>
      </c>
      <c r="D65" s="26">
        <v>1</v>
      </c>
      <c r="E65" s="37">
        <v>0</v>
      </c>
      <c r="F65" s="10">
        <f t="shared" ref="F65" si="57">B65</f>
        <v>0</v>
      </c>
      <c r="G65" s="11">
        <f t="shared" ref="G65" si="58">IF(OR(AND(F65,NOT(C65)),AND(NOT(F65),C65)),1,0)</f>
        <v>1</v>
      </c>
      <c r="H65" s="11">
        <f t="shared" si="55"/>
        <v>0</v>
      </c>
      <c r="I65" s="11">
        <f t="shared" si="56"/>
        <v>0</v>
      </c>
      <c r="J65" s="22">
        <f>8*F65+4*G65+2*H65+1*I65</f>
        <v>4</v>
      </c>
      <c r="K65" s="22">
        <f>J65^2</f>
        <v>16</v>
      </c>
    </row>
    <row r="66" spans="1:11" ht="16" thickBot="1" x14ac:dyDescent="0.25">
      <c r="A66" s="1"/>
      <c r="B66" s="27">
        <v>1</v>
      </c>
      <c r="C66" s="28">
        <v>0</v>
      </c>
      <c r="D66" s="28">
        <v>1</v>
      </c>
      <c r="E66" s="29">
        <v>0</v>
      </c>
      <c r="F66" s="9"/>
      <c r="G66" s="1"/>
      <c r="H66" s="1"/>
      <c r="I66" s="1"/>
      <c r="J66" s="21"/>
      <c r="K66" s="21"/>
    </row>
    <row r="67" spans="1:11" x14ac:dyDescent="0.2">
      <c r="A67" s="1">
        <v>12</v>
      </c>
      <c r="B67" s="31">
        <v>1</v>
      </c>
      <c r="C67" s="32">
        <v>0</v>
      </c>
      <c r="D67" s="38">
        <v>1</v>
      </c>
      <c r="E67" s="41">
        <v>0</v>
      </c>
      <c r="F67" s="34">
        <f>B67</f>
        <v>1</v>
      </c>
      <c r="G67" s="24">
        <f>IF(OR(AND(F67,NOT(C67)),AND(NOT(F67),C67)),1,0)</f>
        <v>1</v>
      </c>
      <c r="H67" s="24">
        <f t="shared" ref="H67:H68" si="59">IF(OR(AND(G67,NOT(D67)),AND(NOT(G67),D67)),1,0)</f>
        <v>0</v>
      </c>
      <c r="I67" s="24">
        <f t="shared" ref="I67:I68" si="60">IF(OR(AND(H67,NOT(E67)),AND(NOT(H67),E67)),1,0)</f>
        <v>0</v>
      </c>
      <c r="J67" s="35">
        <f>8*F67+4*G67+2*H67+1*I67</f>
        <v>12</v>
      </c>
      <c r="K67" s="35">
        <f>J67^2</f>
        <v>144</v>
      </c>
    </row>
    <row r="68" spans="1:11" ht="16" thickBot="1" x14ac:dyDescent="0.25">
      <c r="A68" s="1"/>
      <c r="B68" s="36">
        <v>0</v>
      </c>
      <c r="C68" s="25">
        <v>1</v>
      </c>
      <c r="D68" s="26">
        <v>1</v>
      </c>
      <c r="E68" s="43">
        <v>0</v>
      </c>
      <c r="F68" s="10">
        <f t="shared" ref="F68" si="61">B68</f>
        <v>0</v>
      </c>
      <c r="G68" s="11">
        <f t="shared" ref="G68" si="62">IF(OR(AND(F68,NOT(C68)),AND(NOT(F68),C68)),1,0)</f>
        <v>1</v>
      </c>
      <c r="H68" s="11">
        <f t="shared" si="59"/>
        <v>0</v>
      </c>
      <c r="I68" s="11">
        <f t="shared" si="60"/>
        <v>0</v>
      </c>
      <c r="J68" s="22">
        <f>8*F68+4*G68+2*H68+1*I68</f>
        <v>4</v>
      </c>
      <c r="K68" s="22">
        <f>J68^2</f>
        <v>16</v>
      </c>
    </row>
    <row r="69" spans="1:11" ht="16" thickBot="1" x14ac:dyDescent="0.25">
      <c r="A69" s="1"/>
      <c r="B69" s="27">
        <v>1</v>
      </c>
      <c r="C69" s="28">
        <v>0</v>
      </c>
      <c r="D69" s="28">
        <v>1</v>
      </c>
      <c r="E69" s="29">
        <v>1</v>
      </c>
      <c r="F69" s="9"/>
      <c r="G69" s="1"/>
      <c r="H69" s="1"/>
      <c r="I69" s="1"/>
      <c r="J69" s="21"/>
      <c r="K69" s="21"/>
    </row>
    <row r="70" spans="1:11" x14ac:dyDescent="0.2">
      <c r="A70" s="1">
        <v>13</v>
      </c>
      <c r="B70" s="31">
        <v>1</v>
      </c>
      <c r="C70" s="38">
        <v>1</v>
      </c>
      <c r="D70" s="32">
        <v>1</v>
      </c>
      <c r="E70" s="33">
        <v>0</v>
      </c>
      <c r="F70" s="34">
        <f>B70</f>
        <v>1</v>
      </c>
      <c r="G70" s="24">
        <f>IF(OR(AND(F70,NOT(C70)),AND(NOT(F70),C70)),1,0)</f>
        <v>0</v>
      </c>
      <c r="H70" s="24">
        <f t="shared" ref="H70:H71" si="63">IF(OR(AND(G70,NOT(D70)),AND(NOT(G70),D70)),1,0)</f>
        <v>1</v>
      </c>
      <c r="I70" s="24">
        <f t="shared" ref="I70:I71" si="64">IF(OR(AND(H70,NOT(E70)),AND(NOT(H70),E70)),1,0)</f>
        <v>1</v>
      </c>
      <c r="J70" s="35">
        <f>8*F70+4*G70+2*H70+1*I70</f>
        <v>11</v>
      </c>
      <c r="K70" s="35">
        <f>J70^2</f>
        <v>121</v>
      </c>
    </row>
    <row r="71" spans="1:11" ht="16" thickBot="1" x14ac:dyDescent="0.25">
      <c r="A71" s="1"/>
      <c r="B71" s="36">
        <v>0</v>
      </c>
      <c r="C71" s="26">
        <v>0</v>
      </c>
      <c r="D71" s="25">
        <v>1</v>
      </c>
      <c r="E71" s="37">
        <v>0</v>
      </c>
      <c r="F71" s="10">
        <f t="shared" ref="F71" si="65">B71</f>
        <v>0</v>
      </c>
      <c r="G71" s="11">
        <f t="shared" ref="G71" si="66">IF(OR(AND(F71,NOT(C71)),AND(NOT(F71),C71)),1,0)</f>
        <v>0</v>
      </c>
      <c r="H71" s="11">
        <f t="shared" si="63"/>
        <v>1</v>
      </c>
      <c r="I71" s="11">
        <f t="shared" si="64"/>
        <v>1</v>
      </c>
      <c r="J71" s="22">
        <f>8*F71+4*G71+2*H71+1*I71</f>
        <v>3</v>
      </c>
      <c r="K71" s="22">
        <f>J71^2</f>
        <v>9</v>
      </c>
    </row>
    <row r="72" spans="1:11" ht="16" thickBot="1" x14ac:dyDescent="0.25">
      <c r="A72" s="1"/>
      <c r="B72" s="27">
        <v>1</v>
      </c>
      <c r="C72" s="28">
        <v>1</v>
      </c>
      <c r="D72" s="28">
        <v>0</v>
      </c>
      <c r="E72" s="29">
        <v>0</v>
      </c>
      <c r="F72" s="9"/>
      <c r="G72" s="1"/>
      <c r="H72" s="1"/>
      <c r="I72" s="1"/>
      <c r="J72" s="21"/>
      <c r="K72" s="21"/>
    </row>
    <row r="73" spans="1:11" x14ac:dyDescent="0.2">
      <c r="A73" s="1">
        <v>14</v>
      </c>
      <c r="B73" s="31">
        <v>1</v>
      </c>
      <c r="C73" s="38">
        <v>1</v>
      </c>
      <c r="D73" s="32">
        <v>1</v>
      </c>
      <c r="E73" s="41">
        <v>0</v>
      </c>
      <c r="F73" s="34">
        <f>B73</f>
        <v>1</v>
      </c>
      <c r="G73" s="24">
        <f>IF(OR(AND(F73,NOT(C73)),AND(NOT(F73),C73)),1,0)</f>
        <v>0</v>
      </c>
      <c r="H73" s="24">
        <f t="shared" ref="H73:H74" si="67">IF(OR(AND(G73,NOT(D73)),AND(NOT(G73),D73)),1,0)</f>
        <v>1</v>
      </c>
      <c r="I73" s="24">
        <f t="shared" ref="I73:I74" si="68">IF(OR(AND(H73,NOT(E73)),AND(NOT(H73),E73)),1,0)</f>
        <v>1</v>
      </c>
      <c r="J73" s="35">
        <f>8*F73+4*G73+2*H73+1*I73</f>
        <v>11</v>
      </c>
      <c r="K73" s="35">
        <f>J73^2</f>
        <v>121</v>
      </c>
    </row>
    <row r="74" spans="1:11" ht="16" thickBot="1" x14ac:dyDescent="0.25">
      <c r="A74" s="1"/>
      <c r="B74" s="36">
        <v>0</v>
      </c>
      <c r="C74" s="26">
        <v>1</v>
      </c>
      <c r="D74" s="25">
        <v>1</v>
      </c>
      <c r="E74" s="43">
        <v>0</v>
      </c>
      <c r="F74" s="10">
        <f t="shared" ref="F74" si="69">B74</f>
        <v>0</v>
      </c>
      <c r="G74" s="11">
        <f t="shared" ref="G74" si="70">IF(OR(AND(F74,NOT(C74)),AND(NOT(F74),C74)),1,0)</f>
        <v>1</v>
      </c>
      <c r="H74" s="11">
        <f t="shared" si="67"/>
        <v>0</v>
      </c>
      <c r="I74" s="11">
        <f t="shared" si="68"/>
        <v>0</v>
      </c>
      <c r="J74" s="22">
        <f>8*F74+4*G74+2*H74+1*I74</f>
        <v>4</v>
      </c>
      <c r="K74" s="22">
        <f>J74^2</f>
        <v>16</v>
      </c>
    </row>
    <row r="75" spans="1:11" ht="16" thickBot="1" x14ac:dyDescent="0.25">
      <c r="A75" s="1"/>
      <c r="B75" s="27">
        <v>1</v>
      </c>
      <c r="C75" s="28">
        <v>1</v>
      </c>
      <c r="D75" s="28">
        <v>0</v>
      </c>
      <c r="E75" s="29">
        <v>1</v>
      </c>
      <c r="F75" s="9"/>
      <c r="G75" s="1"/>
      <c r="H75" s="1"/>
      <c r="I75" s="1"/>
      <c r="J75" s="21"/>
      <c r="K75" s="21"/>
    </row>
    <row r="76" spans="1:11" x14ac:dyDescent="0.2">
      <c r="A76" s="1">
        <v>15</v>
      </c>
      <c r="B76" s="31">
        <v>1</v>
      </c>
      <c r="C76" s="38">
        <v>1</v>
      </c>
      <c r="D76" s="38">
        <v>1</v>
      </c>
      <c r="E76" s="33">
        <v>0</v>
      </c>
      <c r="F76" s="34">
        <f>B76</f>
        <v>1</v>
      </c>
      <c r="G76" s="24">
        <f>IF(OR(AND(F76,NOT(C76)),AND(NOT(F76),C76)),1,0)</f>
        <v>0</v>
      </c>
      <c r="H76" s="24">
        <f t="shared" ref="H76:H77" si="71">IF(OR(AND(G76,NOT(D76)),AND(NOT(G76),D76)),1,0)</f>
        <v>1</v>
      </c>
      <c r="I76" s="24">
        <f t="shared" ref="I76:I77" si="72">IF(OR(AND(H76,NOT(E76)),AND(NOT(H76),E76)),1,0)</f>
        <v>1</v>
      </c>
      <c r="J76" s="35">
        <f>8*F76+4*G76+2*H76+1*I76</f>
        <v>11</v>
      </c>
      <c r="K76" s="35">
        <f>J76^2</f>
        <v>121</v>
      </c>
    </row>
    <row r="77" spans="1:11" ht="16" thickBot="1" x14ac:dyDescent="0.25">
      <c r="A77" s="1"/>
      <c r="B77" s="36">
        <v>0</v>
      </c>
      <c r="C77" s="26">
        <v>1</v>
      </c>
      <c r="D77" s="26">
        <v>1</v>
      </c>
      <c r="E77" s="37">
        <v>0</v>
      </c>
      <c r="F77" s="10">
        <f t="shared" ref="F77" si="73">B77</f>
        <v>0</v>
      </c>
      <c r="G77" s="11">
        <f t="shared" ref="G77" si="74">IF(OR(AND(F77,NOT(C77)),AND(NOT(F77),C77)),1,0)</f>
        <v>1</v>
      </c>
      <c r="H77" s="11">
        <f t="shared" si="71"/>
        <v>0</v>
      </c>
      <c r="I77" s="11">
        <f t="shared" si="72"/>
        <v>0</v>
      </c>
      <c r="J77" s="22">
        <f>8*F77+4*G77+2*H77+1*I77</f>
        <v>4</v>
      </c>
      <c r="K77" s="22">
        <f>J77^2</f>
        <v>16</v>
      </c>
    </row>
    <row r="78" spans="1:11" ht="16" thickBot="1" x14ac:dyDescent="0.25">
      <c r="A78" s="1"/>
      <c r="B78" s="27">
        <v>1</v>
      </c>
      <c r="C78" s="28">
        <v>1</v>
      </c>
      <c r="D78" s="28">
        <v>1</v>
      </c>
      <c r="E78" s="29">
        <v>0</v>
      </c>
      <c r="F78" s="9"/>
      <c r="G78" s="1"/>
      <c r="H78" s="1"/>
      <c r="I78" s="1"/>
      <c r="J78" s="21"/>
      <c r="K78" s="21"/>
    </row>
    <row r="79" spans="1:11" x14ac:dyDescent="0.2">
      <c r="A79" s="1">
        <v>16</v>
      </c>
      <c r="B79" s="31">
        <v>1</v>
      </c>
      <c r="C79" s="38">
        <v>1</v>
      </c>
      <c r="D79" s="38">
        <v>1</v>
      </c>
      <c r="E79" s="41">
        <v>0</v>
      </c>
      <c r="F79" s="34">
        <f>B79</f>
        <v>1</v>
      </c>
      <c r="G79" s="24">
        <f>IF(OR(AND(F79,NOT(C79)),AND(NOT(F79),C79)),1,0)</f>
        <v>0</v>
      </c>
      <c r="H79" s="24">
        <f t="shared" ref="H79:H80" si="75">IF(OR(AND(G79,NOT(D79)),AND(NOT(G79),D79)),1,0)</f>
        <v>1</v>
      </c>
      <c r="I79" s="24">
        <f t="shared" ref="I79:I80" si="76">IF(OR(AND(H79,NOT(E79)),AND(NOT(H79),E79)),1,0)</f>
        <v>1</v>
      </c>
      <c r="J79" s="35">
        <f>8*F79+4*G79+2*H79+1*I79</f>
        <v>11</v>
      </c>
      <c r="K79" s="35">
        <f>J79^2</f>
        <v>121</v>
      </c>
    </row>
    <row r="80" spans="1:11" ht="16" thickBot="1" x14ac:dyDescent="0.25">
      <c r="A80" s="1"/>
      <c r="B80" s="36">
        <v>0</v>
      </c>
      <c r="C80" s="26">
        <v>1</v>
      </c>
      <c r="D80" s="26">
        <v>1</v>
      </c>
      <c r="E80" s="43">
        <v>0</v>
      </c>
      <c r="F80" s="10">
        <f t="shared" ref="F80" si="77">B80</f>
        <v>0</v>
      </c>
      <c r="G80" s="11">
        <f t="shared" ref="G80" si="78">IF(OR(AND(F80,NOT(C80)),AND(NOT(F80),C80)),1,0)</f>
        <v>1</v>
      </c>
      <c r="H80" s="11">
        <f t="shared" si="75"/>
        <v>0</v>
      </c>
      <c r="I80" s="11">
        <f t="shared" si="76"/>
        <v>0</v>
      </c>
      <c r="J80" s="22">
        <f>8*F80+4*G80+2*H80+1*I80</f>
        <v>4</v>
      </c>
      <c r="K80" s="22">
        <f>J80^2</f>
        <v>16</v>
      </c>
    </row>
    <row r="81" spans="1:12" x14ac:dyDescent="0.2">
      <c r="A81" s="1"/>
      <c r="B81" s="27">
        <v>1</v>
      </c>
      <c r="C81" s="28">
        <v>1</v>
      </c>
      <c r="D81" s="28">
        <v>1</v>
      </c>
      <c r="E81" s="29">
        <v>1</v>
      </c>
      <c r="F81" s="9"/>
      <c r="G81" s="1"/>
      <c r="H81" s="1"/>
      <c r="I81" s="1"/>
      <c r="J81" s="21"/>
      <c r="K81" s="21"/>
    </row>
    <row r="82" spans="1:12" x14ac:dyDescent="0.2">
      <c r="J82" s="21" t="s">
        <v>37</v>
      </c>
      <c r="K82" s="21">
        <f>AVERAGE(K34:K80)</f>
        <v>71</v>
      </c>
      <c r="L82">
        <f>VAR(K34:K80)</f>
        <v>3440</v>
      </c>
    </row>
  </sheetData>
  <mergeCells count="8">
    <mergeCell ref="B22:E22"/>
    <mergeCell ref="F22:I22"/>
    <mergeCell ref="B33:E33"/>
    <mergeCell ref="F33:I33"/>
    <mergeCell ref="B5:E5"/>
    <mergeCell ref="F5:I5"/>
    <mergeCell ref="B11:E11"/>
    <mergeCell ref="F11:I11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zoomScale="120" zoomScaleNormal="120" workbookViewId="0">
      <pane ySplit="1" topLeftCell="A18" activePane="bottomLeft" state="frozen"/>
      <selection pane="bottomLeft" activeCell="P1" sqref="A1:P27"/>
    </sheetView>
  </sheetViews>
  <sheetFormatPr baseColWidth="10" defaultColWidth="8.83203125" defaultRowHeight="15" x14ac:dyDescent="0.2"/>
  <cols>
    <col min="1" max="1" width="9.5" customWidth="1"/>
    <col min="6" max="9" width="8.83203125" customWidth="1"/>
    <col min="12" max="12" width="22.5" bestFit="1" customWidth="1"/>
    <col min="13" max="13" width="10.5" bestFit="1" customWidth="1"/>
  </cols>
  <sheetData>
    <row r="1" spans="1:21" ht="119" customHeight="1" x14ac:dyDescent="0.2"/>
    <row r="2" spans="1:21" ht="17" customHeight="1" x14ac:dyDescent="0.2">
      <c r="A2" s="92" t="s">
        <v>98</v>
      </c>
    </row>
    <row r="3" spans="1:21" ht="17" customHeight="1" x14ac:dyDescent="0.2">
      <c r="A3" t="s">
        <v>102</v>
      </c>
    </row>
    <row r="4" spans="1:21" ht="16" thickBot="1" x14ac:dyDescent="0.25">
      <c r="A4" t="s">
        <v>36</v>
      </c>
    </row>
    <row r="5" spans="1:21" ht="16" thickBot="1" x14ac:dyDescent="0.25">
      <c r="A5" s="1"/>
      <c r="B5" s="110" t="s">
        <v>1</v>
      </c>
      <c r="C5" s="111"/>
      <c r="D5" s="111"/>
      <c r="E5" s="112"/>
      <c r="F5" s="110" t="s">
        <v>5</v>
      </c>
      <c r="G5" s="111"/>
      <c r="H5" s="111"/>
      <c r="I5" s="112"/>
      <c r="J5" s="20" t="s">
        <v>8</v>
      </c>
      <c r="K5" s="20" t="s">
        <v>24</v>
      </c>
    </row>
    <row r="6" spans="1:21" ht="16" thickBot="1" x14ac:dyDescent="0.25">
      <c r="A6" s="4" t="s">
        <v>15</v>
      </c>
      <c r="B6" s="44">
        <v>0</v>
      </c>
      <c r="C6" s="45">
        <v>0</v>
      </c>
      <c r="D6" s="45">
        <v>1</v>
      </c>
      <c r="E6" s="46">
        <v>0</v>
      </c>
      <c r="F6" s="47">
        <f>B6</f>
        <v>0</v>
      </c>
      <c r="G6" s="48">
        <f>IF(OR(AND(F6,NOT(C6)),AND(NOT(F6),C6)),1,0)</f>
        <v>0</v>
      </c>
      <c r="H6" s="48">
        <f t="shared" ref="H6:I6" si="0">IF(OR(AND(G6,NOT(D6)),AND(NOT(G6),D6)),1,0)</f>
        <v>1</v>
      </c>
      <c r="I6" s="49">
        <f t="shared" si="0"/>
        <v>1</v>
      </c>
      <c r="J6" s="50">
        <f>8*F6+4*G6+2*H6+1*I6</f>
        <v>3</v>
      </c>
      <c r="K6" s="50">
        <f>J6^2</f>
        <v>9</v>
      </c>
      <c r="M6" t="s">
        <v>101</v>
      </c>
    </row>
    <row r="7" spans="1:21" x14ac:dyDescent="0.2">
      <c r="M7" s="6" t="s">
        <v>47</v>
      </c>
      <c r="N7" s="7" t="s">
        <v>22</v>
      </c>
      <c r="O7" s="8" t="s">
        <v>23</v>
      </c>
    </row>
    <row r="8" spans="1:21" ht="16" thickBot="1" x14ac:dyDescent="0.25">
      <c r="L8" s="5"/>
      <c r="M8" s="39">
        <f>1/4</f>
        <v>0.25</v>
      </c>
      <c r="N8" s="11">
        <f>4*M8</f>
        <v>1</v>
      </c>
      <c r="O8" s="19">
        <f>4*M8*(1-M8)</f>
        <v>0.75</v>
      </c>
    </row>
    <row r="9" spans="1:21" x14ac:dyDescent="0.2">
      <c r="A9" s="92" t="s">
        <v>99</v>
      </c>
      <c r="B9" s="92"/>
      <c r="C9" s="92"/>
      <c r="D9" s="92"/>
      <c r="E9" s="92"/>
      <c r="L9" s="5"/>
      <c r="N9" s="1"/>
      <c r="O9" s="1"/>
      <c r="P9" s="1"/>
    </row>
    <row r="10" spans="1:21" ht="16" thickBot="1" x14ac:dyDescent="0.25">
      <c r="A10" t="s">
        <v>100</v>
      </c>
      <c r="L10" s="119" t="s">
        <v>38</v>
      </c>
      <c r="M10" s="119"/>
    </row>
    <row r="11" spans="1:21" ht="16" thickBot="1" x14ac:dyDescent="0.25">
      <c r="A11" s="1" t="s">
        <v>52</v>
      </c>
      <c r="B11" s="44">
        <v>0</v>
      </c>
      <c r="C11" s="45">
        <v>0</v>
      </c>
      <c r="D11" s="45">
        <v>1</v>
      </c>
      <c r="E11" s="46">
        <v>0</v>
      </c>
      <c r="F11" s="47">
        <f>B11</f>
        <v>0</v>
      </c>
      <c r="G11" s="48">
        <f>IF(OR(AND(F11,NOT(C11)),AND(NOT(F11),C11)),1,0)</f>
        <v>0</v>
      </c>
      <c r="H11" s="48">
        <f>IF(OR(AND(G11,NOT(D11)),AND(NOT(G11),D11)),1,0)</f>
        <v>1</v>
      </c>
      <c r="I11" s="49">
        <f>IF(OR(AND(H11,NOT(E11)),AND(NOT(H11),E11)),1,0)</f>
        <v>1</v>
      </c>
      <c r="J11" s="50">
        <f>8*F11+4*G11+2*H11+1*I11</f>
        <v>3</v>
      </c>
      <c r="K11" s="50">
        <f>J11^2</f>
        <v>9</v>
      </c>
      <c r="L11" s="1" t="s">
        <v>53</v>
      </c>
      <c r="M11" s="52">
        <f>(1-$M$8)^4</f>
        <v>0.31640625</v>
      </c>
      <c r="S11" s="90"/>
      <c r="U11" s="90"/>
    </row>
    <row r="12" spans="1:21" ht="16" thickBot="1" x14ac:dyDescent="0.25">
      <c r="A12" s="1">
        <v>1</v>
      </c>
      <c r="B12" s="31">
        <v>1</v>
      </c>
      <c r="C12" s="32">
        <v>0</v>
      </c>
      <c r="D12" s="32">
        <v>1</v>
      </c>
      <c r="E12" s="33">
        <v>0</v>
      </c>
      <c r="F12" s="34">
        <f>B12</f>
        <v>1</v>
      </c>
      <c r="G12" s="24">
        <f>IF(OR(AND(F12,NOT(C12)),AND(NOT(F12),C12)),1,0)</f>
        <v>1</v>
      </c>
      <c r="H12" s="24">
        <f t="shared" ref="H12" si="1">IF(OR(AND(G12,NOT(D12)),AND(NOT(G12),D12)),1,0)</f>
        <v>0</v>
      </c>
      <c r="I12" s="42">
        <f t="shared" ref="I12" si="2">IF(OR(AND(H12,NOT(E12)),AND(NOT(H12),E12)),1,0)</f>
        <v>0</v>
      </c>
      <c r="J12" s="35">
        <f>8*F12+4*G12+2*H12+1*I12</f>
        <v>12</v>
      </c>
      <c r="K12" s="35">
        <f>J12^2</f>
        <v>144</v>
      </c>
      <c r="L12" s="1" t="s">
        <v>50</v>
      </c>
      <c r="M12" s="52">
        <f>$M$8*(1-$M$8)^3</f>
        <v>0.10546875</v>
      </c>
      <c r="S12" s="90"/>
      <c r="U12" s="90"/>
    </row>
    <row r="13" spans="1:21" ht="16" thickBot="1" x14ac:dyDescent="0.25">
      <c r="A13" s="1">
        <v>2</v>
      </c>
      <c r="B13" s="40">
        <v>0</v>
      </c>
      <c r="C13" s="38">
        <v>1</v>
      </c>
      <c r="D13" s="32">
        <v>1</v>
      </c>
      <c r="E13" s="33">
        <v>0</v>
      </c>
      <c r="F13" s="34">
        <f t="shared" ref="F13:F15" si="3">B13</f>
        <v>0</v>
      </c>
      <c r="G13" s="24">
        <f t="shared" ref="G13:G15" si="4">IF(OR(AND(F13,NOT(C13)),AND(NOT(F13),C13)),1,0)</f>
        <v>1</v>
      </c>
      <c r="H13" s="24">
        <f t="shared" ref="H13:H16" si="5">IF(OR(AND(G13,NOT(D13)),AND(NOT(G13),D13)),1,0)</f>
        <v>0</v>
      </c>
      <c r="I13" s="42">
        <f t="shared" ref="I13:I16" si="6">IF(OR(AND(H13,NOT(E13)),AND(NOT(H13),E13)),1,0)</f>
        <v>0</v>
      </c>
      <c r="J13" s="35">
        <f t="shared" ref="J13:J15" si="7">8*F13+4*G13+2*H13+1*I13</f>
        <v>4</v>
      </c>
      <c r="K13" s="35">
        <f t="shared" ref="K13:K26" si="8">J13^2</f>
        <v>16</v>
      </c>
      <c r="L13" s="1" t="s">
        <v>50</v>
      </c>
      <c r="M13" s="52">
        <f>$M$8*(1-$M$8)^3</f>
        <v>0.10546875</v>
      </c>
      <c r="S13" s="90"/>
      <c r="U13" s="90"/>
    </row>
    <row r="14" spans="1:21" ht="16" thickBot="1" x14ac:dyDescent="0.25">
      <c r="A14" s="1">
        <v>3</v>
      </c>
      <c r="B14" s="40">
        <v>0</v>
      </c>
      <c r="C14" s="32">
        <v>0</v>
      </c>
      <c r="D14" s="38">
        <v>0</v>
      </c>
      <c r="E14" s="33">
        <v>0</v>
      </c>
      <c r="F14" s="34">
        <f t="shared" si="3"/>
        <v>0</v>
      </c>
      <c r="G14" s="24">
        <f t="shared" si="4"/>
        <v>0</v>
      </c>
      <c r="H14" s="24">
        <f t="shared" si="5"/>
        <v>0</v>
      </c>
      <c r="I14" s="42">
        <f t="shared" si="6"/>
        <v>0</v>
      </c>
      <c r="J14" s="35">
        <f t="shared" si="7"/>
        <v>0</v>
      </c>
      <c r="K14" s="35">
        <f t="shared" si="8"/>
        <v>0</v>
      </c>
      <c r="L14" s="1" t="s">
        <v>50</v>
      </c>
      <c r="M14" s="52">
        <f>$M$8*(1-$M$8)^3</f>
        <v>0.10546875</v>
      </c>
      <c r="S14" s="90"/>
      <c r="U14" s="90"/>
    </row>
    <row r="15" spans="1:21" ht="16" thickBot="1" x14ac:dyDescent="0.25">
      <c r="A15" s="1">
        <v>4</v>
      </c>
      <c r="B15" s="40">
        <v>0</v>
      </c>
      <c r="C15" s="32">
        <v>0</v>
      </c>
      <c r="D15" s="32">
        <v>1</v>
      </c>
      <c r="E15" s="41">
        <v>1</v>
      </c>
      <c r="F15" s="34">
        <f t="shared" si="3"/>
        <v>0</v>
      </c>
      <c r="G15" s="24">
        <f t="shared" si="4"/>
        <v>0</v>
      </c>
      <c r="H15" s="24">
        <f t="shared" si="5"/>
        <v>1</v>
      </c>
      <c r="I15" s="42">
        <f t="shared" si="6"/>
        <v>0</v>
      </c>
      <c r="J15" s="35">
        <f t="shared" si="7"/>
        <v>2</v>
      </c>
      <c r="K15" s="35">
        <f t="shared" si="8"/>
        <v>4</v>
      </c>
      <c r="L15" s="1" t="s">
        <v>50</v>
      </c>
      <c r="M15" s="52">
        <f>$M$8*(1-$M$8)^3</f>
        <v>0.10546875</v>
      </c>
    </row>
    <row r="16" spans="1:21" ht="16" thickBot="1" x14ac:dyDescent="0.25">
      <c r="A16" s="1" t="s">
        <v>33</v>
      </c>
      <c r="B16" s="31">
        <v>1</v>
      </c>
      <c r="C16" s="38">
        <v>1</v>
      </c>
      <c r="D16" s="32">
        <v>1</v>
      </c>
      <c r="E16" s="33">
        <v>0</v>
      </c>
      <c r="F16" s="34">
        <f>B16</f>
        <v>1</v>
      </c>
      <c r="G16" s="24">
        <f>IF(OR(AND(F16,NOT(C16)),AND(NOT(F16),C16)),1,0)</f>
        <v>0</v>
      </c>
      <c r="H16" s="24">
        <f t="shared" si="5"/>
        <v>1</v>
      </c>
      <c r="I16" s="42">
        <f t="shared" si="6"/>
        <v>1</v>
      </c>
      <c r="J16" s="35">
        <f>8*F16+4*G16+2*H16+1*I16</f>
        <v>11</v>
      </c>
      <c r="K16" s="35">
        <f>J16^2</f>
        <v>121</v>
      </c>
      <c r="L16" s="1" t="s">
        <v>48</v>
      </c>
      <c r="M16" s="52">
        <f t="shared" ref="M16:M21" si="9">$M$8^2*(1-$M$8)^2</f>
        <v>3.515625E-2</v>
      </c>
    </row>
    <row r="17" spans="1:13" ht="16" thickBot="1" x14ac:dyDescent="0.25">
      <c r="A17" s="1" t="s">
        <v>34</v>
      </c>
      <c r="B17" s="31">
        <v>1</v>
      </c>
      <c r="C17" s="32">
        <v>0</v>
      </c>
      <c r="D17" s="38">
        <v>0</v>
      </c>
      <c r="E17" s="33">
        <v>0</v>
      </c>
      <c r="F17" s="34">
        <f t="shared" ref="F17:F19" si="10">B17</f>
        <v>1</v>
      </c>
      <c r="G17" s="24">
        <f t="shared" ref="G17:G19" si="11">IF(OR(AND(F17,NOT(C17)),AND(NOT(F17),C17)),1,0)</f>
        <v>1</v>
      </c>
      <c r="H17" s="24">
        <f t="shared" ref="H17:H20" si="12">IF(OR(AND(G17,NOT(D17)),AND(NOT(G17),D17)),1,0)</f>
        <v>1</v>
      </c>
      <c r="I17" s="42">
        <f t="shared" ref="I17:I20" si="13">IF(OR(AND(H17,NOT(E17)),AND(NOT(H17),E17)),1,0)</f>
        <v>1</v>
      </c>
      <c r="J17" s="35">
        <f t="shared" ref="J17:J19" si="14">8*F17+4*G17+2*H17+1*I17</f>
        <v>15</v>
      </c>
      <c r="K17" s="35">
        <f t="shared" si="8"/>
        <v>225</v>
      </c>
      <c r="L17" s="1" t="s">
        <v>48</v>
      </c>
      <c r="M17" s="52">
        <f t="shared" si="9"/>
        <v>3.515625E-2</v>
      </c>
    </row>
    <row r="18" spans="1:13" ht="16" thickBot="1" x14ac:dyDescent="0.25">
      <c r="A18" s="1" t="s">
        <v>39</v>
      </c>
      <c r="B18" s="31">
        <v>1</v>
      </c>
      <c r="C18" s="32">
        <v>0</v>
      </c>
      <c r="D18" s="32">
        <v>1</v>
      </c>
      <c r="E18" s="41">
        <v>1</v>
      </c>
      <c r="F18" s="34">
        <f t="shared" si="10"/>
        <v>1</v>
      </c>
      <c r="G18" s="24">
        <f t="shared" si="11"/>
        <v>1</v>
      </c>
      <c r="H18" s="24">
        <f t="shared" si="12"/>
        <v>0</v>
      </c>
      <c r="I18" s="42">
        <f t="shared" si="13"/>
        <v>1</v>
      </c>
      <c r="J18" s="35">
        <f t="shared" si="14"/>
        <v>13</v>
      </c>
      <c r="K18" s="35">
        <f t="shared" si="8"/>
        <v>169</v>
      </c>
      <c r="L18" s="1" t="s">
        <v>48</v>
      </c>
      <c r="M18" s="52">
        <f t="shared" si="9"/>
        <v>3.515625E-2</v>
      </c>
    </row>
    <row r="19" spans="1:13" ht="16" thickBot="1" x14ac:dyDescent="0.25">
      <c r="A19" s="1" t="s">
        <v>35</v>
      </c>
      <c r="B19" s="40">
        <v>0</v>
      </c>
      <c r="C19" s="38">
        <v>1</v>
      </c>
      <c r="D19" s="38">
        <v>0</v>
      </c>
      <c r="E19" s="33">
        <v>0</v>
      </c>
      <c r="F19" s="34">
        <f t="shared" si="10"/>
        <v>0</v>
      </c>
      <c r="G19" s="24">
        <f t="shared" si="11"/>
        <v>1</v>
      </c>
      <c r="H19" s="24">
        <f t="shared" si="12"/>
        <v>1</v>
      </c>
      <c r="I19" s="42">
        <f t="shared" si="13"/>
        <v>1</v>
      </c>
      <c r="J19" s="35">
        <f t="shared" si="14"/>
        <v>7</v>
      </c>
      <c r="K19" s="35">
        <f t="shared" si="8"/>
        <v>49</v>
      </c>
      <c r="L19" s="1" t="s">
        <v>48</v>
      </c>
      <c r="M19" s="52">
        <f t="shared" si="9"/>
        <v>3.515625E-2</v>
      </c>
    </row>
    <row r="20" spans="1:13" ht="16" thickBot="1" x14ac:dyDescent="0.25">
      <c r="A20" s="1" t="s">
        <v>40</v>
      </c>
      <c r="B20" s="40">
        <v>0</v>
      </c>
      <c r="C20" s="38">
        <v>1</v>
      </c>
      <c r="D20" s="32">
        <v>1</v>
      </c>
      <c r="E20" s="41">
        <v>1</v>
      </c>
      <c r="F20" s="34">
        <f>B20</f>
        <v>0</v>
      </c>
      <c r="G20" s="24">
        <f>IF(OR(AND(F20,NOT(C20)),AND(NOT(F20),C20)),1,0)</f>
        <v>1</v>
      </c>
      <c r="H20" s="24">
        <f t="shared" si="12"/>
        <v>0</v>
      </c>
      <c r="I20" s="42">
        <f t="shared" si="13"/>
        <v>1</v>
      </c>
      <c r="J20" s="35">
        <f>8*F20+4*G20+2*H20+1*I20</f>
        <v>5</v>
      </c>
      <c r="K20" s="35">
        <f>J20^2</f>
        <v>25</v>
      </c>
      <c r="L20" s="1" t="s">
        <v>48</v>
      </c>
      <c r="M20" s="52">
        <f t="shared" si="9"/>
        <v>3.515625E-2</v>
      </c>
    </row>
    <row r="21" spans="1:13" ht="16" thickBot="1" x14ac:dyDescent="0.25">
      <c r="A21" s="1" t="s">
        <v>41</v>
      </c>
      <c r="B21" s="40">
        <v>0</v>
      </c>
      <c r="C21" s="32">
        <v>0</v>
      </c>
      <c r="D21" s="38">
        <v>0</v>
      </c>
      <c r="E21" s="41">
        <v>1</v>
      </c>
      <c r="F21" s="34">
        <f t="shared" ref="F21:F23" si="15">B21</f>
        <v>0</v>
      </c>
      <c r="G21" s="24">
        <f t="shared" ref="G21:G23" si="16">IF(OR(AND(F21,NOT(C21)),AND(NOT(F21),C21)),1,0)</f>
        <v>0</v>
      </c>
      <c r="H21" s="24">
        <f t="shared" ref="H21:H23" si="17">IF(OR(AND(G21,NOT(D21)),AND(NOT(G21),D21)),1,0)</f>
        <v>0</v>
      </c>
      <c r="I21" s="42">
        <f t="shared" ref="I21:I23" si="18">IF(OR(AND(H21,NOT(E21)),AND(NOT(H21),E21)),1,0)</f>
        <v>1</v>
      </c>
      <c r="J21" s="35">
        <f t="shared" ref="J21:J23" si="19">8*F21+4*G21+2*H21+1*I21</f>
        <v>1</v>
      </c>
      <c r="K21" s="35">
        <f t="shared" si="8"/>
        <v>1</v>
      </c>
      <c r="L21" s="1" t="s">
        <v>48</v>
      </c>
      <c r="M21" s="52">
        <f t="shared" si="9"/>
        <v>3.515625E-2</v>
      </c>
    </row>
    <row r="22" spans="1:13" ht="16" thickBot="1" x14ac:dyDescent="0.25">
      <c r="A22" s="1" t="s">
        <v>42</v>
      </c>
      <c r="B22" s="31">
        <v>1</v>
      </c>
      <c r="C22" s="38">
        <v>1</v>
      </c>
      <c r="D22" s="38">
        <v>0</v>
      </c>
      <c r="E22" s="33">
        <v>0</v>
      </c>
      <c r="F22" s="34">
        <f t="shared" si="15"/>
        <v>1</v>
      </c>
      <c r="G22" s="24">
        <f t="shared" si="16"/>
        <v>0</v>
      </c>
      <c r="H22" s="24">
        <f t="shared" si="17"/>
        <v>0</v>
      </c>
      <c r="I22" s="42">
        <f t="shared" si="18"/>
        <v>0</v>
      </c>
      <c r="J22" s="35">
        <f t="shared" si="19"/>
        <v>8</v>
      </c>
      <c r="K22" s="35">
        <f t="shared" si="8"/>
        <v>64</v>
      </c>
      <c r="L22" s="1" t="s">
        <v>49</v>
      </c>
      <c r="M22" s="52">
        <f>$M$8^3*(1-$M$8)</f>
        <v>1.171875E-2</v>
      </c>
    </row>
    <row r="23" spans="1:13" ht="16" thickBot="1" x14ac:dyDescent="0.25">
      <c r="A23" s="1" t="s">
        <v>43</v>
      </c>
      <c r="B23" s="31">
        <v>1</v>
      </c>
      <c r="C23" s="38">
        <v>1</v>
      </c>
      <c r="D23" s="32">
        <v>1</v>
      </c>
      <c r="E23" s="41">
        <v>1</v>
      </c>
      <c r="F23" s="34">
        <f t="shared" si="15"/>
        <v>1</v>
      </c>
      <c r="G23" s="24">
        <f t="shared" si="16"/>
        <v>0</v>
      </c>
      <c r="H23" s="24">
        <f t="shared" si="17"/>
        <v>1</v>
      </c>
      <c r="I23" s="42">
        <f t="shared" si="18"/>
        <v>0</v>
      </c>
      <c r="J23" s="35">
        <f t="shared" si="19"/>
        <v>10</v>
      </c>
      <c r="K23" s="35">
        <f t="shared" si="8"/>
        <v>100</v>
      </c>
      <c r="L23" s="1" t="s">
        <v>49</v>
      </c>
      <c r="M23" s="52">
        <f>$M$8^3*(1-$M$8)</f>
        <v>1.171875E-2</v>
      </c>
    </row>
    <row r="24" spans="1:13" ht="16" thickBot="1" x14ac:dyDescent="0.25">
      <c r="A24" s="1" t="s">
        <v>51</v>
      </c>
      <c r="B24" s="31">
        <v>1</v>
      </c>
      <c r="C24" s="32">
        <v>0</v>
      </c>
      <c r="D24" s="38">
        <v>0</v>
      </c>
      <c r="E24" s="41">
        <v>1</v>
      </c>
      <c r="F24" s="34">
        <f t="shared" ref="F24" si="20">B24</f>
        <v>1</v>
      </c>
      <c r="G24" s="24">
        <f t="shared" ref="G24" si="21">IF(OR(AND(F24,NOT(C24)),AND(NOT(F24),C24)),1,0)</f>
        <v>1</v>
      </c>
      <c r="H24" s="24">
        <f t="shared" ref="H24" si="22">IF(OR(AND(G24,NOT(D24)),AND(NOT(G24),D24)),1,0)</f>
        <v>1</v>
      </c>
      <c r="I24" s="42">
        <f t="shared" ref="I24" si="23">IF(OR(AND(H24,NOT(E24)),AND(NOT(H24),E24)),1,0)</f>
        <v>0</v>
      </c>
      <c r="J24" s="35">
        <f t="shared" ref="J24" si="24">8*F24+4*G24+2*H24+1*I24</f>
        <v>14</v>
      </c>
      <c r="K24" s="35">
        <f t="shared" si="8"/>
        <v>196</v>
      </c>
      <c r="L24" s="1" t="s">
        <v>49</v>
      </c>
      <c r="M24" s="52">
        <f>$M$8^3*(1-$M$8)</f>
        <v>1.171875E-2</v>
      </c>
    </row>
    <row r="25" spans="1:13" ht="16" thickBot="1" x14ac:dyDescent="0.25">
      <c r="A25" s="1" t="s">
        <v>44</v>
      </c>
      <c r="B25" s="40">
        <v>0</v>
      </c>
      <c r="C25" s="38">
        <v>1</v>
      </c>
      <c r="D25" s="38">
        <v>0</v>
      </c>
      <c r="E25" s="41">
        <v>1</v>
      </c>
      <c r="F25" s="34">
        <f t="shared" ref="F25:F26" si="25">B25</f>
        <v>0</v>
      </c>
      <c r="G25" s="24">
        <f t="shared" ref="G25:G26" si="26">IF(OR(AND(F25,NOT(C25)),AND(NOT(F25),C25)),1,0)</f>
        <v>1</v>
      </c>
      <c r="H25" s="24">
        <f t="shared" ref="H25:H26" si="27">IF(OR(AND(G25,NOT(D25)),AND(NOT(G25),D25)),1,0)</f>
        <v>1</v>
      </c>
      <c r="I25" s="42">
        <f t="shared" ref="I25:I26" si="28">IF(OR(AND(H25,NOT(E25)),AND(NOT(H25),E25)),1,0)</f>
        <v>0</v>
      </c>
      <c r="J25" s="35">
        <f t="shared" ref="J25:J26" si="29">8*F25+4*G25+2*H25+1*I25</f>
        <v>6</v>
      </c>
      <c r="K25" s="35">
        <f t="shared" si="8"/>
        <v>36</v>
      </c>
      <c r="L25" s="1" t="s">
        <v>49</v>
      </c>
      <c r="M25" s="52">
        <f>$M$8^3*(1-$M$8)</f>
        <v>1.171875E-2</v>
      </c>
    </row>
    <row r="26" spans="1:13" x14ac:dyDescent="0.2">
      <c r="A26" s="1" t="s">
        <v>45</v>
      </c>
      <c r="B26" s="31">
        <v>1</v>
      </c>
      <c r="C26" s="38">
        <v>1</v>
      </c>
      <c r="D26" s="38">
        <v>0</v>
      </c>
      <c r="E26" s="41">
        <v>1</v>
      </c>
      <c r="F26" s="34">
        <f t="shared" si="25"/>
        <v>1</v>
      </c>
      <c r="G26" s="24">
        <f t="shared" si="26"/>
        <v>0</v>
      </c>
      <c r="H26" s="24">
        <f t="shared" si="27"/>
        <v>0</v>
      </c>
      <c r="I26" s="42">
        <f t="shared" si="28"/>
        <v>1</v>
      </c>
      <c r="J26" s="35">
        <f t="shared" si="29"/>
        <v>9</v>
      </c>
      <c r="K26" s="35">
        <f t="shared" si="8"/>
        <v>81</v>
      </c>
      <c r="L26" s="1" t="s">
        <v>46</v>
      </c>
      <c r="M26" s="52">
        <f>$M$8^4</f>
        <v>3.90625E-3</v>
      </c>
    </row>
    <row r="27" spans="1:13" x14ac:dyDescent="0.2">
      <c r="M27" s="89">
        <f>SUM(M11:M26)</f>
        <v>1</v>
      </c>
    </row>
  </sheetData>
  <mergeCells count="3">
    <mergeCell ref="B5:E5"/>
    <mergeCell ref="F5:I5"/>
    <mergeCell ref="L10:M10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4</vt:i4>
      </vt:variant>
    </vt:vector>
  </HeadingPairs>
  <TitlesOfParts>
    <vt:vector size="8" baseType="lpstr">
      <vt:lpstr>a, b - Codificação Binário-Gray</vt:lpstr>
      <vt:lpstr>c, d, e, f - F. Aval. e Seleção</vt:lpstr>
      <vt:lpstr>g - Recombinação</vt:lpstr>
      <vt:lpstr>h - Mutação</vt:lpstr>
      <vt:lpstr>'a, b - Codificação Binário-Gray'!Área_de_Impressão</vt:lpstr>
      <vt:lpstr>'c, d, e, f - F. Aval. e Seleção'!Área_de_Impressão</vt:lpstr>
      <vt:lpstr>'g - Recombinação'!Área_de_Impressão</vt:lpstr>
      <vt:lpstr>'h - Mutação'!Área_de_Impressão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Lino António Antunes Fernandes Costa</cp:lastModifiedBy>
  <dcterms:created xsi:type="dcterms:W3CDTF">2009-02-26T00:41:22Z</dcterms:created>
  <dcterms:modified xsi:type="dcterms:W3CDTF">2025-11-13T19:01:31Z</dcterms:modified>
</cp:coreProperties>
</file>