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minho365-my.sharepoint.com/personal/d1828_uminho_pt/Documents/Aulas/Ano Letivo 2025-2026/1s-MAOM (MECD 7,5hT+15hPL)/Slides/"/>
    </mc:Choice>
  </mc:AlternateContent>
  <xr:revisionPtr revIDLastSave="78" documentId="13_ncr:1_{11792E50-C917-D04F-BC3A-1946BF52A00E}" xr6:coauthVersionLast="47" xr6:coauthVersionMax="47" xr10:uidLastSave="{57960F9D-EC65-5249-BD16-A5152E76990C}"/>
  <bookViews>
    <workbookView xWindow="0" yWindow="620" windowWidth="28800" windowHeight="15960" xr2:uid="{00000000-000D-0000-FFFF-FFFF00000000}"/>
  </bookViews>
  <sheets>
    <sheet name="Schema Theor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F6" i="1"/>
  <c r="F4" i="1"/>
  <c r="P14" i="1"/>
  <c r="Q12" i="1" s="1"/>
  <c r="Q13" i="1" l="1"/>
  <c r="Q11" i="1"/>
  <c r="Q14" i="1"/>
  <c r="Q10" i="1"/>
  <c r="H13" i="1" l="1"/>
  <c r="I13" i="1" s="1"/>
  <c r="H36" i="1"/>
  <c r="I36" i="1" s="1"/>
  <c r="H10" i="1"/>
  <c r="I10" i="1" s="1"/>
  <c r="H32" i="1"/>
  <c r="I32" i="1" s="1"/>
  <c r="H16" i="1"/>
  <c r="I16" i="1" s="1"/>
  <c r="H34" i="1"/>
  <c r="I34" i="1" s="1"/>
  <c r="H22" i="1"/>
  <c r="I22" i="1" s="1"/>
  <c r="H18" i="1"/>
  <c r="I18" i="1" s="1"/>
  <c r="H11" i="1"/>
  <c r="I11" i="1" s="1"/>
  <c r="H19" i="1"/>
  <c r="I19" i="1" s="1"/>
  <c r="H27" i="1"/>
  <c r="I27" i="1" s="1"/>
  <c r="H35" i="1"/>
  <c r="I35" i="1" s="1"/>
  <c r="H15" i="1"/>
  <c r="I15" i="1" s="1"/>
  <c r="H31" i="1"/>
  <c r="I31" i="1" s="1"/>
  <c r="H23" i="1"/>
  <c r="I23" i="1" s="1"/>
  <c r="H17" i="1"/>
  <c r="I17" i="1" s="1"/>
  <c r="H25" i="1"/>
  <c r="I25" i="1" s="1"/>
  <c r="H33" i="1"/>
  <c r="I33" i="1" s="1"/>
  <c r="H26" i="1"/>
  <c r="I26" i="1" s="1"/>
  <c r="H20" i="1"/>
  <c r="I20" i="1" s="1"/>
  <c r="H12" i="1"/>
  <c r="I12" i="1" s="1"/>
  <c r="H21" i="1"/>
  <c r="I21" i="1" s="1"/>
  <c r="H14" i="1"/>
  <c r="I14" i="1" s="1"/>
  <c r="H30" i="1"/>
  <c r="I30" i="1" s="1"/>
  <c r="H28" i="1"/>
  <c r="I28" i="1" s="1"/>
  <c r="H24" i="1"/>
  <c r="I24" i="1" s="1"/>
  <c r="H29" i="1"/>
  <c r="I29" i="1" s="1"/>
  <c r="K18" i="1" l="1"/>
  <c r="J18" i="1"/>
  <c r="J13" i="1"/>
  <c r="K13" i="1"/>
  <c r="J10" i="1"/>
  <c r="K10" i="1"/>
  <c r="K34" i="1"/>
  <c r="J34" i="1"/>
  <c r="K22" i="1"/>
  <c r="J22" i="1"/>
  <c r="K36" i="1"/>
  <c r="J36" i="1"/>
  <c r="J32" i="1"/>
  <c r="K32" i="1"/>
  <c r="J16" i="1"/>
  <c r="K16" i="1"/>
  <c r="J33" i="1"/>
  <c r="K33" i="1"/>
  <c r="J31" i="1"/>
  <c r="K31" i="1"/>
  <c r="K30" i="1"/>
  <c r="J30" i="1"/>
  <c r="K26" i="1"/>
  <c r="J26" i="1"/>
  <c r="J25" i="1"/>
  <c r="K25" i="1"/>
  <c r="J15" i="1"/>
  <c r="K15" i="1"/>
  <c r="J11" i="1"/>
  <c r="K11" i="1"/>
  <c r="K28" i="1"/>
  <c r="J28" i="1"/>
  <c r="J19" i="1"/>
  <c r="K19" i="1"/>
  <c r="J29" i="1"/>
  <c r="K29" i="1"/>
  <c r="K14" i="1"/>
  <c r="J14" i="1"/>
  <c r="J21" i="1"/>
  <c r="K21" i="1"/>
  <c r="J17" i="1"/>
  <c r="K17" i="1"/>
  <c r="J35" i="1"/>
  <c r="K35" i="1"/>
  <c r="K20" i="1"/>
  <c r="J20" i="1"/>
  <c r="K24" i="1"/>
  <c r="J24" i="1"/>
  <c r="K12" i="1"/>
  <c r="J12" i="1"/>
  <c r="J23" i="1"/>
  <c r="K23" i="1"/>
  <c r="J27" i="1"/>
  <c r="K27" i="1"/>
</calcChain>
</file>

<file path=xl/sharedStrings.xml><?xml version="1.0" encoding="utf-8"?>
<sst xmlns="http://schemas.openxmlformats.org/spreadsheetml/2006/main" count="73" uniqueCount="63">
  <si>
    <t>Cromossoma</t>
  </si>
  <si>
    <t>011</t>
  </si>
  <si>
    <t>110</t>
  </si>
  <si>
    <t>010</t>
  </si>
  <si>
    <t>100</t>
  </si>
  <si>
    <t>F(x)</t>
  </si>
  <si>
    <t>Esquema</t>
  </si>
  <si>
    <t>***</t>
  </si>
  <si>
    <t>**0</t>
  </si>
  <si>
    <t>**1</t>
  </si>
  <si>
    <t>*0*</t>
  </si>
  <si>
    <t>*1*</t>
  </si>
  <si>
    <t>0**</t>
  </si>
  <si>
    <t>1**</t>
  </si>
  <si>
    <t>*00</t>
  </si>
  <si>
    <t>*01</t>
  </si>
  <si>
    <t>*10</t>
  </si>
  <si>
    <t>*11</t>
  </si>
  <si>
    <t>0*0</t>
  </si>
  <si>
    <t>0*1</t>
  </si>
  <si>
    <t>1*0</t>
  </si>
  <si>
    <t>1*1</t>
  </si>
  <si>
    <t>00*</t>
  </si>
  <si>
    <t>01*</t>
  </si>
  <si>
    <t>10*</t>
  </si>
  <si>
    <t>11*</t>
  </si>
  <si>
    <t>C(E)</t>
  </si>
  <si>
    <t>O(E)</t>
  </si>
  <si>
    <t>000</t>
  </si>
  <si>
    <t>001</t>
  </si>
  <si>
    <t>101</t>
  </si>
  <si>
    <t>111</t>
  </si>
  <si>
    <t>pcross</t>
  </si>
  <si>
    <t>pmut</t>
  </si>
  <si>
    <t>P</t>
  </si>
  <si>
    <t>L</t>
  </si>
  <si>
    <t>Prob.</t>
  </si>
  <si>
    <t>A(E,t)</t>
  </si>
  <si>
    <t>F(E,t)</t>
  </si>
  <si>
    <t>A(E,t+1)&gt;=</t>
  </si>
  <si>
    <t>A(E,t+1)-A(E,t)</t>
  </si>
  <si>
    <t>sumF(t)</t>
  </si>
  <si>
    <t>medF(t)</t>
  </si>
  <si>
    <t>sum(F(t))</t>
  </si>
  <si>
    <t>F(E,t)/medF(t)</t>
  </si>
  <si>
    <t>A</t>
  </si>
  <si>
    <t>B</t>
  </si>
  <si>
    <t>C</t>
  </si>
  <si>
    <t>D</t>
  </si>
  <si>
    <t>B,C,D</t>
  </si>
  <si>
    <t>B,D</t>
  </si>
  <si>
    <t>a)</t>
  </si>
  <si>
    <t>b)</t>
  </si>
  <si>
    <t>c)</t>
  </si>
  <si>
    <t>(slide 53)</t>
  </si>
  <si>
    <t>R: Dimensão do espaço de procura (2^L):</t>
  </si>
  <si>
    <t>R: Número de esquemas (3^L):</t>
  </si>
  <si>
    <t>d)</t>
  </si>
  <si>
    <t>(slides 54 a 58)</t>
  </si>
  <si>
    <t>e)</t>
  </si>
  <si>
    <t>R:</t>
  </si>
  <si>
    <t>(slide 58)</t>
  </si>
  <si>
    <t>Blocos construtivos: **0, *0*, 1**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</si>
</sst>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3" fontId="0" fillId="0" borderId="8" xfId="0" applyNumberFormat="1" applyBorder="1" applyAlignment="1">
      <alignment horizontal="center"/>
    </xf>
    <xf numFmtId="13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3" fontId="0" fillId="0" borderId="11" xfId="0" applyNumberFormat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/>
    <xf numFmtId="0" fontId="1" fillId="0" borderId="16" xfId="0" applyFont="1" applyBorder="1" applyAlignment="1">
      <alignment horizontal="center"/>
    </xf>
    <xf numFmtId="0" fontId="1" fillId="0" borderId="7" xfId="0" quotePrefix="1" applyFont="1" applyBorder="1" applyAlignment="1">
      <alignment horizontal="center"/>
    </xf>
    <xf numFmtId="0" fontId="1" fillId="0" borderId="8" xfId="0" quotePrefix="1" applyFont="1" applyBorder="1" applyAlignment="1">
      <alignment horizontal="center"/>
    </xf>
    <xf numFmtId="0" fontId="2" fillId="0" borderId="17" xfId="0" applyFont="1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2" fillId="0" borderId="17" xfId="0" quotePrefix="1" applyFont="1" applyBorder="1" applyAlignment="1">
      <alignment horizontal="center" vertical="top" wrapText="1"/>
    </xf>
    <xf numFmtId="0" fontId="2" fillId="0" borderId="18" xfId="0" quotePrefix="1" applyFont="1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15" xfId="0" applyFill="1" applyBorder="1" applyAlignment="1"/>
    <xf numFmtId="0" fontId="0" fillId="2" borderId="0" xfId="0" applyFill="1" applyAlignment="1">
      <alignment horizontal="left"/>
    </xf>
    <xf numFmtId="0" fontId="0" fillId="0" borderId="4" xfId="0" applyFill="1" applyBorder="1" applyAlignment="1"/>
    <xf numFmtId="0" fontId="0" fillId="2" borderId="0" xfId="0" applyFill="1" applyBorder="1" applyAlignment="1"/>
    <xf numFmtId="0" fontId="0" fillId="0" borderId="0" xfId="0" applyFill="1" applyBorder="1" applyAlignment="1"/>
    <xf numFmtId="0" fontId="0" fillId="0" borderId="15" xfId="0" applyFill="1" applyBorder="1" applyAlignment="1"/>
  </cellXfs>
  <cellStyles count="1">
    <cellStyle name="Normal" xfId="0" builtinId="0"/>
  </cellStyles>
  <dxfs count="3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18090</xdr:colOff>
      <xdr:row>3</xdr:row>
      <xdr:rowOff>156826</xdr:rowOff>
    </xdr:from>
    <xdr:to>
      <xdr:col>13</xdr:col>
      <xdr:colOff>402841</xdr:colOff>
      <xdr:row>5</xdr:row>
      <xdr:rowOff>218663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13223" y="3518093"/>
          <a:ext cx="4736618" cy="552903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103909</xdr:colOff>
      <xdr:row>0</xdr:row>
      <xdr:rowOff>2899337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A68542-E1E4-9D47-ACC4-70832987C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010727" cy="2899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7"/>
  <sheetViews>
    <sheetView tabSelected="1" zoomScale="150" zoomScaleNormal="150" workbookViewId="0">
      <selection activeCell="B29" sqref="B29"/>
    </sheetView>
  </sheetViews>
  <sheetFormatPr baseColWidth="10" defaultColWidth="8.83203125" defaultRowHeight="15" x14ac:dyDescent="0.2"/>
  <cols>
    <col min="1" max="1" width="3" style="1" bestFit="1" customWidth="1"/>
    <col min="2" max="2" width="12.5" style="1" bestFit="1" customWidth="1"/>
    <col min="3" max="3" width="4.5" style="1" bestFit="1" customWidth="1"/>
    <col min="4" max="4" width="6.33203125" style="1" bestFit="1" customWidth="1"/>
    <col min="5" max="5" width="8.5" style="1" bestFit="1" customWidth="1"/>
    <col min="6" max="6" width="9.5" style="1" bestFit="1" customWidth="1"/>
    <col min="7" max="7" width="5.6640625" style="1" bestFit="1" customWidth="1"/>
    <col min="8" max="8" width="14.1640625" style="1" bestFit="1" customWidth="1"/>
    <col min="9" max="9" width="10" style="1" bestFit="1" customWidth="1"/>
    <col min="10" max="10" width="2" style="1" bestFit="1" customWidth="1"/>
    <col min="11" max="11" width="13.83203125" style="1" bestFit="1" customWidth="1"/>
    <col min="12" max="12" width="5.6640625" style="5" bestFit="1" customWidth="1"/>
    <col min="13" max="13" width="5.6640625" bestFit="1" customWidth="1"/>
    <col min="14" max="14" width="6.6640625" customWidth="1"/>
    <col min="15" max="15" width="11.33203125" bestFit="1" customWidth="1"/>
  </cols>
  <sheetData>
    <row r="1" spans="1:22" ht="229" customHeight="1" x14ac:dyDescent="0.2"/>
    <row r="2" spans="1:22" ht="16" customHeight="1" x14ac:dyDescent="0.2">
      <c r="E2" s="1" t="s">
        <v>35</v>
      </c>
      <c r="F2" s="1">
        <v>3</v>
      </c>
    </row>
    <row r="3" spans="1:22" ht="19" customHeight="1" x14ac:dyDescent="0.2">
      <c r="A3" s="21" t="s">
        <v>51</v>
      </c>
      <c r="B3" s="37" t="s">
        <v>54</v>
      </c>
    </row>
    <row r="4" spans="1:22" ht="19" customHeight="1" x14ac:dyDescent="0.2">
      <c r="A4" s="35"/>
      <c r="B4" s="22" t="s">
        <v>55</v>
      </c>
      <c r="F4" s="1">
        <f>2^F2</f>
        <v>8</v>
      </c>
    </row>
    <row r="5" spans="1:22" ht="19" customHeight="1" x14ac:dyDescent="0.2">
      <c r="A5" s="21" t="s">
        <v>52</v>
      </c>
      <c r="B5" s="37" t="s">
        <v>54</v>
      </c>
    </row>
    <row r="6" spans="1:22" ht="19" customHeight="1" x14ac:dyDescent="0.2">
      <c r="A6" s="35"/>
      <c r="B6" s="22" t="s">
        <v>56</v>
      </c>
      <c r="F6" s="1">
        <f>3^F2</f>
        <v>27</v>
      </c>
    </row>
    <row r="7" spans="1:22" x14ac:dyDescent="0.2">
      <c r="A7" s="21" t="s">
        <v>53</v>
      </c>
      <c r="B7" s="36" t="s">
        <v>54</v>
      </c>
      <c r="C7" s="26"/>
      <c r="D7" s="26"/>
      <c r="E7" s="21" t="s">
        <v>57</v>
      </c>
      <c r="F7" s="36" t="s">
        <v>58</v>
      </c>
      <c r="G7" s="39"/>
      <c r="H7" s="26"/>
      <c r="I7" s="26"/>
      <c r="J7" s="39" t="s">
        <v>59</v>
      </c>
      <c r="K7" s="39" t="s">
        <v>61</v>
      </c>
    </row>
    <row r="8" spans="1:22" ht="16" thickBot="1" x14ac:dyDescent="0.25">
      <c r="A8" s="35"/>
      <c r="B8" s="40" t="s">
        <v>60</v>
      </c>
      <c r="C8" s="40"/>
      <c r="D8" s="40"/>
      <c r="E8" s="40" t="s">
        <v>60</v>
      </c>
      <c r="F8" s="41"/>
      <c r="G8" s="38"/>
      <c r="H8" s="38"/>
      <c r="I8" s="38"/>
      <c r="J8" s="38" t="s">
        <v>60</v>
      </c>
      <c r="K8" s="38" t="s">
        <v>62</v>
      </c>
    </row>
    <row r="9" spans="1:22" ht="16" thickBot="1" x14ac:dyDescent="0.25">
      <c r="B9" s="27" t="s">
        <v>6</v>
      </c>
      <c r="C9" s="28" t="s">
        <v>26</v>
      </c>
      <c r="D9" s="29" t="s">
        <v>27</v>
      </c>
      <c r="E9" s="24" t="s">
        <v>37</v>
      </c>
      <c r="F9" s="7" t="s">
        <v>43</v>
      </c>
      <c r="G9" s="7" t="s">
        <v>38</v>
      </c>
      <c r="H9" s="7" t="s">
        <v>44</v>
      </c>
      <c r="I9" s="6" t="s">
        <v>39</v>
      </c>
      <c r="J9" s="6"/>
      <c r="K9" s="6" t="s">
        <v>40</v>
      </c>
      <c r="N9" s="1"/>
      <c r="O9" s="9" t="s">
        <v>0</v>
      </c>
      <c r="P9" s="9" t="s">
        <v>5</v>
      </c>
      <c r="Q9" s="9" t="s">
        <v>36</v>
      </c>
      <c r="R9" s="1"/>
      <c r="S9" s="1"/>
      <c r="T9" s="1"/>
      <c r="U9" s="5" t="s">
        <v>34</v>
      </c>
      <c r="V9" s="1">
        <v>4</v>
      </c>
    </row>
    <row r="10" spans="1:22" x14ac:dyDescent="0.2">
      <c r="A10" s="23">
        <v>1</v>
      </c>
      <c r="B10" s="30" t="s">
        <v>7</v>
      </c>
      <c r="C10" s="3">
        <v>0</v>
      </c>
      <c r="D10" s="31">
        <v>0</v>
      </c>
      <c r="E10" s="25">
        <v>4</v>
      </c>
      <c r="F10" s="3">
        <v>28</v>
      </c>
      <c r="G10" s="4">
        <f>IF(E10=0,0,F10/E10)</f>
        <v>7</v>
      </c>
      <c r="H10" s="4">
        <f>G10/$Q$14</f>
        <v>1</v>
      </c>
      <c r="I10" s="4">
        <f>E10*H10*(1-$V$10*C10/($V$12-1)-$V$11*D10)</f>
        <v>4</v>
      </c>
      <c r="J10" s="3" t="str">
        <f>IF(I10&gt;E10,"+",IF(I10=E10,"=","-"))</f>
        <v>=</v>
      </c>
      <c r="K10" s="4">
        <f>I10-E10</f>
        <v>0</v>
      </c>
      <c r="N10" s="6" t="s">
        <v>45</v>
      </c>
      <c r="O10" s="18" t="s">
        <v>1</v>
      </c>
      <c r="P10" s="13">
        <v>4</v>
      </c>
      <c r="Q10" s="14">
        <f>P10/$P$14</f>
        <v>0.14285714285714285</v>
      </c>
      <c r="R10" s="1"/>
      <c r="S10" s="1"/>
      <c r="T10" s="1"/>
      <c r="U10" s="5" t="s">
        <v>32</v>
      </c>
      <c r="V10" s="1">
        <v>0.7</v>
      </c>
    </row>
    <row r="11" spans="1:22" x14ac:dyDescent="0.2">
      <c r="A11" s="23">
        <v>2</v>
      </c>
      <c r="B11" s="30" t="s">
        <v>8</v>
      </c>
      <c r="C11" s="3">
        <v>0</v>
      </c>
      <c r="D11" s="31">
        <v>1</v>
      </c>
      <c r="E11" s="25">
        <v>3</v>
      </c>
      <c r="F11" s="3">
        <v>24</v>
      </c>
      <c r="G11" s="4">
        <f t="shared" ref="G11:G36" si="0">IF(E11=0,0,F11/E11)</f>
        <v>8</v>
      </c>
      <c r="H11" s="4">
        <f>G11/$Q$14</f>
        <v>1.1428571428571428</v>
      </c>
      <c r="I11" s="4">
        <f>E11*H11*(1-$V$10*C11/($V$12-1)-$V$11*D11)</f>
        <v>3.0857142857142854</v>
      </c>
      <c r="J11" s="3" t="str">
        <f t="shared" ref="J11:J36" si="1">IF(I11&gt;E11,"+",IF(I11=E11,"=","-"))</f>
        <v>+</v>
      </c>
      <c r="K11" s="4">
        <f t="shared" ref="K11:K36" si="2">I11-E11</f>
        <v>8.571428571428541E-2</v>
      </c>
      <c r="L11" s="5" t="s">
        <v>49</v>
      </c>
      <c r="N11" s="6" t="s">
        <v>46</v>
      </c>
      <c r="O11" s="19" t="s">
        <v>2</v>
      </c>
      <c r="P11" s="3">
        <v>12</v>
      </c>
      <c r="Q11" s="15">
        <f>P11/$P$14</f>
        <v>0.42857142857142855</v>
      </c>
      <c r="R11" s="1"/>
      <c r="S11" s="1"/>
      <c r="T11" s="1"/>
      <c r="U11" s="5" t="s">
        <v>33</v>
      </c>
      <c r="V11" s="1">
        <v>0.1</v>
      </c>
    </row>
    <row r="12" spans="1:22" x14ac:dyDescent="0.2">
      <c r="A12" s="23">
        <v>3</v>
      </c>
      <c r="B12" s="30" t="s">
        <v>9</v>
      </c>
      <c r="C12" s="3">
        <v>0</v>
      </c>
      <c r="D12" s="31">
        <v>1</v>
      </c>
      <c r="E12" s="25">
        <v>1</v>
      </c>
      <c r="F12" s="3">
        <v>4</v>
      </c>
      <c r="G12" s="4">
        <f t="shared" si="0"/>
        <v>4</v>
      </c>
      <c r="H12" s="4">
        <f>G12/$Q$14</f>
        <v>0.5714285714285714</v>
      </c>
      <c r="I12" s="4">
        <f>E12*H12*(1-$V$10*C12/($V$12-1)-$V$11*D12)</f>
        <v>0.51428571428571423</v>
      </c>
      <c r="J12" s="3" t="str">
        <f t="shared" si="1"/>
        <v>-</v>
      </c>
      <c r="K12" s="4">
        <f t="shared" si="2"/>
        <v>-0.48571428571428577</v>
      </c>
      <c r="N12" s="6" t="s">
        <v>47</v>
      </c>
      <c r="O12" s="19" t="s">
        <v>3</v>
      </c>
      <c r="P12" s="3">
        <v>3</v>
      </c>
      <c r="Q12" s="15">
        <f>P12/$P$14</f>
        <v>0.10714285714285714</v>
      </c>
      <c r="R12" s="1"/>
      <c r="S12" s="1"/>
      <c r="T12" s="1"/>
      <c r="U12" s="5" t="s">
        <v>35</v>
      </c>
      <c r="V12" s="1">
        <v>3</v>
      </c>
    </row>
    <row r="13" spans="1:22" ht="16" thickBot="1" x14ac:dyDescent="0.25">
      <c r="A13" s="23">
        <v>4</v>
      </c>
      <c r="B13" s="30" t="s">
        <v>10</v>
      </c>
      <c r="C13" s="3">
        <v>0</v>
      </c>
      <c r="D13" s="31">
        <v>1</v>
      </c>
      <c r="E13" s="25">
        <v>1</v>
      </c>
      <c r="F13" s="3">
        <v>9</v>
      </c>
      <c r="G13" s="4">
        <f t="shared" si="0"/>
        <v>9</v>
      </c>
      <c r="H13" s="4">
        <f>G13/$Q$14</f>
        <v>1.2857142857142858</v>
      </c>
      <c r="I13" s="4">
        <f>E13*H13*(1-$V$10*C13/($V$12-1)-$V$11*D13)</f>
        <v>1.1571428571428573</v>
      </c>
      <c r="J13" s="3" t="str">
        <f t="shared" si="1"/>
        <v>+</v>
      </c>
      <c r="K13" s="4">
        <f t="shared" si="2"/>
        <v>0.15714285714285725</v>
      </c>
      <c r="L13" s="5" t="s">
        <v>48</v>
      </c>
      <c r="N13" s="6" t="s">
        <v>48</v>
      </c>
      <c r="O13" s="20" t="s">
        <v>4</v>
      </c>
      <c r="P13" s="16">
        <v>9</v>
      </c>
      <c r="Q13" s="17">
        <f>P13/$P$14</f>
        <v>0.32142857142857145</v>
      </c>
      <c r="R13" s="1"/>
      <c r="S13" s="1"/>
      <c r="T13" s="1"/>
      <c r="U13" s="1"/>
      <c r="V13" s="1"/>
    </row>
    <row r="14" spans="1:22" x14ac:dyDescent="0.2">
      <c r="A14" s="23">
        <v>5</v>
      </c>
      <c r="B14" s="30" t="s">
        <v>11</v>
      </c>
      <c r="C14" s="3">
        <v>0</v>
      </c>
      <c r="D14" s="31">
        <v>1</v>
      </c>
      <c r="E14" s="25">
        <v>3</v>
      </c>
      <c r="F14" s="3">
        <v>19</v>
      </c>
      <c r="G14" s="4">
        <f t="shared" si="0"/>
        <v>6.333333333333333</v>
      </c>
      <c r="H14" s="4">
        <f>G14/$Q$14</f>
        <v>0.90476190476190477</v>
      </c>
      <c r="I14" s="4">
        <f>E14*H14*(1-$V$10*C14/($V$12-1)-$V$11*D14)</f>
        <v>2.4428571428571431</v>
      </c>
      <c r="J14" s="3" t="str">
        <f t="shared" si="1"/>
        <v>-</v>
      </c>
      <c r="K14" s="4">
        <f t="shared" si="2"/>
        <v>-0.55714285714285694</v>
      </c>
      <c r="N14" s="1"/>
      <c r="O14" s="10" t="s">
        <v>41</v>
      </c>
      <c r="P14" s="11">
        <f>SUM(P10:P13)</f>
        <v>28</v>
      </c>
      <c r="Q14" s="12">
        <f>P14/4</f>
        <v>7</v>
      </c>
      <c r="R14" s="8" t="s">
        <v>42</v>
      </c>
      <c r="S14" s="1"/>
      <c r="T14" s="1"/>
      <c r="U14" s="1"/>
      <c r="V14" s="1"/>
    </row>
    <row r="15" spans="1:22" x14ac:dyDescent="0.2">
      <c r="A15" s="23">
        <v>6</v>
      </c>
      <c r="B15" s="30" t="s">
        <v>12</v>
      </c>
      <c r="C15" s="3">
        <v>0</v>
      </c>
      <c r="D15" s="31">
        <v>1</v>
      </c>
      <c r="E15" s="25">
        <v>2</v>
      </c>
      <c r="F15" s="3">
        <v>7</v>
      </c>
      <c r="G15" s="4">
        <f t="shared" si="0"/>
        <v>3.5</v>
      </c>
      <c r="H15" s="4">
        <f>G15/$Q$14</f>
        <v>0.5</v>
      </c>
      <c r="I15" s="4">
        <f>E15*H15*(1-$V$10*C15/($V$12-1)-$V$11*D15)</f>
        <v>0.9</v>
      </c>
      <c r="J15" s="3" t="str">
        <f t="shared" si="1"/>
        <v>-</v>
      </c>
      <c r="K15" s="4">
        <f t="shared" si="2"/>
        <v>-1.1000000000000001</v>
      </c>
    </row>
    <row r="16" spans="1:22" x14ac:dyDescent="0.2">
      <c r="A16" s="23">
        <v>7</v>
      </c>
      <c r="B16" s="30" t="s">
        <v>13</v>
      </c>
      <c r="C16" s="3">
        <v>0</v>
      </c>
      <c r="D16" s="31">
        <v>1</v>
      </c>
      <c r="E16" s="25">
        <v>2</v>
      </c>
      <c r="F16" s="3">
        <v>21</v>
      </c>
      <c r="G16" s="4">
        <f t="shared" si="0"/>
        <v>10.5</v>
      </c>
      <c r="H16" s="4">
        <f>G16/$Q$14</f>
        <v>1.5</v>
      </c>
      <c r="I16" s="4">
        <f>E16*H16*(1-$V$10*C16/($V$12-1)-$V$11*D16)</f>
        <v>2.7</v>
      </c>
      <c r="J16" s="3" t="str">
        <f t="shared" si="1"/>
        <v>+</v>
      </c>
      <c r="K16" s="4">
        <f t="shared" si="2"/>
        <v>0.70000000000000018</v>
      </c>
      <c r="L16" s="5" t="s">
        <v>50</v>
      </c>
    </row>
    <row r="17" spans="1:11" x14ac:dyDescent="0.2">
      <c r="A17" s="23">
        <v>8</v>
      </c>
      <c r="B17" s="30" t="s">
        <v>14</v>
      </c>
      <c r="C17" s="3">
        <v>1</v>
      </c>
      <c r="D17" s="31">
        <v>2</v>
      </c>
      <c r="E17" s="25">
        <v>1</v>
      </c>
      <c r="F17" s="3">
        <v>9</v>
      </c>
      <c r="G17" s="4">
        <f t="shared" si="0"/>
        <v>9</v>
      </c>
      <c r="H17" s="4">
        <f>G17/$Q$14</f>
        <v>1.2857142857142858</v>
      </c>
      <c r="I17" s="4">
        <f>E17*H17*(1-$V$10*C17/($V$12-1)-$V$11*D17)</f>
        <v>0.57857142857142863</v>
      </c>
      <c r="J17" s="3" t="str">
        <f t="shared" si="1"/>
        <v>-</v>
      </c>
      <c r="K17" s="4">
        <f t="shared" si="2"/>
        <v>-0.42142857142857137</v>
      </c>
    </row>
    <row r="18" spans="1:11" x14ac:dyDescent="0.2">
      <c r="A18" s="23">
        <v>9</v>
      </c>
      <c r="B18" s="30" t="s">
        <v>15</v>
      </c>
      <c r="C18" s="3">
        <v>1</v>
      </c>
      <c r="D18" s="31">
        <v>2</v>
      </c>
      <c r="E18" s="25">
        <v>0</v>
      </c>
      <c r="F18" s="3">
        <v>0</v>
      </c>
      <c r="G18" s="4">
        <f t="shared" si="0"/>
        <v>0</v>
      </c>
      <c r="H18" s="4">
        <f>G18/$Q$14</f>
        <v>0</v>
      </c>
      <c r="I18" s="4">
        <f>E18*H18*(1-$V$10*C18/($V$12-1)-$V$11*D18)</f>
        <v>0</v>
      </c>
      <c r="J18" s="3" t="str">
        <f t="shared" si="1"/>
        <v>=</v>
      </c>
      <c r="K18" s="4">
        <f t="shared" si="2"/>
        <v>0</v>
      </c>
    </row>
    <row r="19" spans="1:11" x14ac:dyDescent="0.2">
      <c r="A19" s="23">
        <v>10</v>
      </c>
      <c r="B19" s="30" t="s">
        <v>16</v>
      </c>
      <c r="C19" s="3">
        <v>1</v>
      </c>
      <c r="D19" s="31">
        <v>2</v>
      </c>
      <c r="E19" s="25">
        <v>2</v>
      </c>
      <c r="F19" s="3">
        <v>15</v>
      </c>
      <c r="G19" s="4">
        <f t="shared" si="0"/>
        <v>7.5</v>
      </c>
      <c r="H19" s="4">
        <f>G19/$Q$14</f>
        <v>1.0714285714285714</v>
      </c>
      <c r="I19" s="4">
        <f>E19*H19*(1-$V$10*C19/($V$12-1)-$V$11*D19)</f>
        <v>0.9642857142857143</v>
      </c>
      <c r="J19" s="3" t="str">
        <f t="shared" si="1"/>
        <v>-</v>
      </c>
      <c r="K19" s="4">
        <f t="shared" si="2"/>
        <v>-1.0357142857142856</v>
      </c>
    </row>
    <row r="20" spans="1:11" x14ac:dyDescent="0.2">
      <c r="A20" s="23">
        <v>11</v>
      </c>
      <c r="B20" s="30" t="s">
        <v>17</v>
      </c>
      <c r="C20" s="3">
        <v>1</v>
      </c>
      <c r="D20" s="31">
        <v>2</v>
      </c>
      <c r="E20" s="25">
        <v>1</v>
      </c>
      <c r="F20" s="3">
        <v>4</v>
      </c>
      <c r="G20" s="4">
        <f t="shared" si="0"/>
        <v>4</v>
      </c>
      <c r="H20" s="4">
        <f>G20/$Q$14</f>
        <v>0.5714285714285714</v>
      </c>
      <c r="I20" s="4">
        <f>E20*H20*(1-$V$10*C20/($V$12-1)-$V$11*D20)</f>
        <v>0.25714285714285712</v>
      </c>
      <c r="J20" s="3" t="str">
        <f t="shared" si="1"/>
        <v>-</v>
      </c>
      <c r="K20" s="4">
        <f t="shared" si="2"/>
        <v>-0.74285714285714288</v>
      </c>
    </row>
    <row r="21" spans="1:11" x14ac:dyDescent="0.2">
      <c r="A21" s="23">
        <v>12</v>
      </c>
      <c r="B21" s="30" t="s">
        <v>18</v>
      </c>
      <c r="C21" s="3">
        <v>2</v>
      </c>
      <c r="D21" s="31">
        <v>2</v>
      </c>
      <c r="E21" s="25">
        <v>1</v>
      </c>
      <c r="F21" s="3">
        <v>3</v>
      </c>
      <c r="G21" s="4">
        <f t="shared" si="0"/>
        <v>3</v>
      </c>
      <c r="H21" s="4">
        <f>G21/$Q$14</f>
        <v>0.42857142857142855</v>
      </c>
      <c r="I21" s="4">
        <f>E21*H21*(1-$V$10*C21/($V$12-1)-$V$11*D21)</f>
        <v>4.2857142857142871E-2</v>
      </c>
      <c r="J21" s="3" t="str">
        <f t="shared" si="1"/>
        <v>-</v>
      </c>
      <c r="K21" s="4">
        <f t="shared" si="2"/>
        <v>-0.95714285714285707</v>
      </c>
    </row>
    <row r="22" spans="1:11" x14ac:dyDescent="0.2">
      <c r="A22" s="23">
        <v>13</v>
      </c>
      <c r="B22" s="30" t="s">
        <v>19</v>
      </c>
      <c r="C22" s="3">
        <v>2</v>
      </c>
      <c r="D22" s="31">
        <v>2</v>
      </c>
      <c r="E22" s="25">
        <v>1</v>
      </c>
      <c r="F22" s="3">
        <v>4</v>
      </c>
      <c r="G22" s="4">
        <f t="shared" si="0"/>
        <v>4</v>
      </c>
      <c r="H22" s="4">
        <f>G22/$Q$14</f>
        <v>0.5714285714285714</v>
      </c>
      <c r="I22" s="4">
        <f>E22*H22*(1-$V$10*C22/($V$12-1)-$V$11*D22)</f>
        <v>5.7142857142857162E-2</v>
      </c>
      <c r="J22" s="3" t="str">
        <f t="shared" si="1"/>
        <v>-</v>
      </c>
      <c r="K22" s="4">
        <f t="shared" si="2"/>
        <v>-0.94285714285714284</v>
      </c>
    </row>
    <row r="23" spans="1:11" x14ac:dyDescent="0.2">
      <c r="A23" s="23">
        <v>14</v>
      </c>
      <c r="B23" s="30" t="s">
        <v>20</v>
      </c>
      <c r="C23" s="3">
        <v>2</v>
      </c>
      <c r="D23" s="31">
        <v>2</v>
      </c>
      <c r="E23" s="25">
        <v>2</v>
      </c>
      <c r="F23" s="3">
        <v>21</v>
      </c>
      <c r="G23" s="4">
        <f t="shared" si="0"/>
        <v>10.5</v>
      </c>
      <c r="H23" s="4">
        <f>G23/$Q$14</f>
        <v>1.5</v>
      </c>
      <c r="I23" s="4">
        <f>E23*H23*(1-$V$10*C23/($V$12-1)-$V$11*D23)</f>
        <v>0.3000000000000001</v>
      </c>
      <c r="J23" s="3" t="str">
        <f t="shared" si="1"/>
        <v>-</v>
      </c>
      <c r="K23" s="4">
        <f t="shared" si="2"/>
        <v>-1.7</v>
      </c>
    </row>
    <row r="24" spans="1:11" x14ac:dyDescent="0.2">
      <c r="A24" s="23">
        <v>15</v>
      </c>
      <c r="B24" s="30" t="s">
        <v>21</v>
      </c>
      <c r="C24" s="3">
        <v>2</v>
      </c>
      <c r="D24" s="31">
        <v>2</v>
      </c>
      <c r="E24" s="25">
        <v>0</v>
      </c>
      <c r="F24" s="3">
        <v>0</v>
      </c>
      <c r="G24" s="4">
        <f t="shared" si="0"/>
        <v>0</v>
      </c>
      <c r="H24" s="4">
        <f>G24/$Q$14</f>
        <v>0</v>
      </c>
      <c r="I24" s="4">
        <f>E24*H24*(1-$V$10*C24/($V$12-1)-$V$11*D24)</f>
        <v>0</v>
      </c>
      <c r="J24" s="3" t="str">
        <f t="shared" si="1"/>
        <v>=</v>
      </c>
      <c r="K24" s="4">
        <f t="shared" si="2"/>
        <v>0</v>
      </c>
    </row>
    <row r="25" spans="1:11" x14ac:dyDescent="0.2">
      <c r="A25" s="23">
        <v>16</v>
      </c>
      <c r="B25" s="30" t="s">
        <v>22</v>
      </c>
      <c r="C25" s="3">
        <v>1</v>
      </c>
      <c r="D25" s="31">
        <v>2</v>
      </c>
      <c r="E25" s="25">
        <v>0</v>
      </c>
      <c r="F25" s="3">
        <v>0</v>
      </c>
      <c r="G25" s="4">
        <f t="shared" si="0"/>
        <v>0</v>
      </c>
      <c r="H25" s="4">
        <f>G25/$Q$14</f>
        <v>0</v>
      </c>
      <c r="I25" s="4">
        <f>E25*H25*(1-$V$10*C25/($V$12-1)-$V$11*D25)</f>
        <v>0</v>
      </c>
      <c r="J25" s="3" t="str">
        <f t="shared" si="1"/>
        <v>=</v>
      </c>
      <c r="K25" s="4">
        <f t="shared" si="2"/>
        <v>0</v>
      </c>
    </row>
    <row r="26" spans="1:11" x14ac:dyDescent="0.2">
      <c r="A26" s="23">
        <v>17</v>
      </c>
      <c r="B26" s="30" t="s">
        <v>23</v>
      </c>
      <c r="C26" s="3">
        <v>1</v>
      </c>
      <c r="D26" s="31">
        <v>2</v>
      </c>
      <c r="E26" s="25">
        <v>2</v>
      </c>
      <c r="F26" s="3">
        <v>7</v>
      </c>
      <c r="G26" s="4">
        <f t="shared" si="0"/>
        <v>3.5</v>
      </c>
      <c r="H26" s="4">
        <f>G26/$Q$14</f>
        <v>0.5</v>
      </c>
      <c r="I26" s="4">
        <f>E26*H26*(1-$V$10*C26/($V$12-1)-$V$11*D26)</f>
        <v>0.45</v>
      </c>
      <c r="J26" s="3" t="str">
        <f t="shared" si="1"/>
        <v>-</v>
      </c>
      <c r="K26" s="4">
        <f t="shared" si="2"/>
        <v>-1.55</v>
      </c>
    </row>
    <row r="27" spans="1:11" x14ac:dyDescent="0.2">
      <c r="A27" s="23">
        <v>18</v>
      </c>
      <c r="B27" s="30" t="s">
        <v>24</v>
      </c>
      <c r="C27" s="3">
        <v>1</v>
      </c>
      <c r="D27" s="31">
        <v>2</v>
      </c>
      <c r="E27" s="25">
        <v>1</v>
      </c>
      <c r="F27" s="3">
        <v>9</v>
      </c>
      <c r="G27" s="4">
        <f t="shared" si="0"/>
        <v>9</v>
      </c>
      <c r="H27" s="4">
        <f>G27/$Q$14</f>
        <v>1.2857142857142858</v>
      </c>
      <c r="I27" s="4">
        <f>E27*H27*(1-$V$10*C27/($V$12-1)-$V$11*D27)</f>
        <v>0.57857142857142863</v>
      </c>
      <c r="J27" s="3" t="str">
        <f t="shared" si="1"/>
        <v>-</v>
      </c>
      <c r="K27" s="4">
        <f t="shared" si="2"/>
        <v>-0.42142857142857137</v>
      </c>
    </row>
    <row r="28" spans="1:11" x14ac:dyDescent="0.2">
      <c r="A28" s="23">
        <v>19</v>
      </c>
      <c r="B28" s="30" t="s">
        <v>25</v>
      </c>
      <c r="C28" s="3">
        <v>1</v>
      </c>
      <c r="D28" s="31">
        <v>2</v>
      </c>
      <c r="E28" s="25">
        <v>1</v>
      </c>
      <c r="F28" s="3">
        <v>12</v>
      </c>
      <c r="G28" s="4">
        <f t="shared" si="0"/>
        <v>12</v>
      </c>
      <c r="H28" s="4">
        <f>G28/$Q$14</f>
        <v>1.7142857142857142</v>
      </c>
      <c r="I28" s="4">
        <f>E28*H28*(1-$V$10*C28/($V$12-1)-$V$11*D28)</f>
        <v>0.77142857142857135</v>
      </c>
      <c r="J28" s="3" t="str">
        <f t="shared" si="1"/>
        <v>-</v>
      </c>
      <c r="K28" s="4">
        <f t="shared" si="2"/>
        <v>-0.22857142857142865</v>
      </c>
    </row>
    <row r="29" spans="1:11" x14ac:dyDescent="0.2">
      <c r="A29" s="23">
        <v>20</v>
      </c>
      <c r="B29" s="32" t="s">
        <v>28</v>
      </c>
      <c r="C29" s="3">
        <v>2</v>
      </c>
      <c r="D29" s="31">
        <v>3</v>
      </c>
      <c r="E29" s="25">
        <v>0</v>
      </c>
      <c r="F29" s="3">
        <v>0</v>
      </c>
      <c r="G29" s="4">
        <f t="shared" si="0"/>
        <v>0</v>
      </c>
      <c r="H29" s="4">
        <f>G29/$Q$14</f>
        <v>0</v>
      </c>
      <c r="I29" s="4">
        <f>E29*H29*(1-$V$10*C29/($V$12-1)-$V$11*D29)</f>
        <v>0</v>
      </c>
      <c r="J29" s="3" t="str">
        <f t="shared" si="1"/>
        <v>=</v>
      </c>
      <c r="K29" s="4">
        <f t="shared" si="2"/>
        <v>0</v>
      </c>
    </row>
    <row r="30" spans="1:11" x14ac:dyDescent="0.2">
      <c r="A30" s="23">
        <v>21</v>
      </c>
      <c r="B30" s="32" t="s">
        <v>29</v>
      </c>
      <c r="C30" s="3">
        <v>2</v>
      </c>
      <c r="D30" s="31">
        <v>3</v>
      </c>
      <c r="E30" s="25">
        <v>0</v>
      </c>
      <c r="F30" s="3">
        <v>0</v>
      </c>
      <c r="G30" s="4">
        <f t="shared" si="0"/>
        <v>0</v>
      </c>
      <c r="H30" s="4">
        <f>G30/$Q$14</f>
        <v>0</v>
      </c>
      <c r="I30" s="4">
        <f>E30*H30*(1-$V$10*C30/($V$12-1)-$V$11*D30)</f>
        <v>0</v>
      </c>
      <c r="J30" s="3" t="str">
        <f t="shared" si="1"/>
        <v>=</v>
      </c>
      <c r="K30" s="4">
        <f t="shared" si="2"/>
        <v>0</v>
      </c>
    </row>
    <row r="31" spans="1:11" x14ac:dyDescent="0.2">
      <c r="A31" s="23">
        <v>22</v>
      </c>
      <c r="B31" s="32" t="s">
        <v>3</v>
      </c>
      <c r="C31" s="3">
        <v>2</v>
      </c>
      <c r="D31" s="31">
        <v>3</v>
      </c>
      <c r="E31" s="25">
        <v>1</v>
      </c>
      <c r="F31" s="3">
        <v>3</v>
      </c>
      <c r="G31" s="4">
        <f t="shared" si="0"/>
        <v>3</v>
      </c>
      <c r="H31" s="4">
        <f>G31/$Q$14</f>
        <v>0.42857142857142855</v>
      </c>
      <c r="I31" s="4">
        <f>E31*H31*(1-$V$10*C31/($V$12-1)-$V$11*D31)</f>
        <v>0</v>
      </c>
      <c r="J31" s="3" t="str">
        <f t="shared" si="1"/>
        <v>-</v>
      </c>
      <c r="K31" s="4">
        <f t="shared" si="2"/>
        <v>-1</v>
      </c>
    </row>
    <row r="32" spans="1:11" x14ac:dyDescent="0.2">
      <c r="A32" s="23">
        <v>23</v>
      </c>
      <c r="B32" s="32" t="s">
        <v>1</v>
      </c>
      <c r="C32" s="3">
        <v>2</v>
      </c>
      <c r="D32" s="31">
        <v>3</v>
      </c>
      <c r="E32" s="25">
        <v>1</v>
      </c>
      <c r="F32" s="3">
        <v>4</v>
      </c>
      <c r="G32" s="4">
        <f t="shared" si="0"/>
        <v>4</v>
      </c>
      <c r="H32" s="4">
        <f>G32/$Q$14</f>
        <v>0.5714285714285714</v>
      </c>
      <c r="I32" s="4">
        <f>E32*H32*(1-$V$10*C32/($V$12-1)-$V$11*D32)</f>
        <v>0</v>
      </c>
      <c r="J32" s="3" t="str">
        <f t="shared" si="1"/>
        <v>-</v>
      </c>
      <c r="K32" s="4">
        <f t="shared" si="2"/>
        <v>-1</v>
      </c>
    </row>
    <row r="33" spans="1:11" x14ac:dyDescent="0.2">
      <c r="A33" s="23">
        <v>24</v>
      </c>
      <c r="B33" s="32" t="s">
        <v>4</v>
      </c>
      <c r="C33" s="3">
        <v>2</v>
      </c>
      <c r="D33" s="31">
        <v>3</v>
      </c>
      <c r="E33" s="25">
        <v>1</v>
      </c>
      <c r="F33" s="3">
        <v>9</v>
      </c>
      <c r="G33" s="4">
        <f t="shared" si="0"/>
        <v>9</v>
      </c>
      <c r="H33" s="4">
        <f>G33/$Q$14</f>
        <v>1.2857142857142858</v>
      </c>
      <c r="I33" s="4">
        <f>E33*H33*(1-$V$10*C33/($V$12-1)-$V$11*D33)</f>
        <v>0</v>
      </c>
      <c r="J33" s="3" t="str">
        <f t="shared" si="1"/>
        <v>-</v>
      </c>
      <c r="K33" s="4">
        <f t="shared" si="2"/>
        <v>-1</v>
      </c>
    </row>
    <row r="34" spans="1:11" x14ac:dyDescent="0.2">
      <c r="A34" s="23">
        <v>25</v>
      </c>
      <c r="B34" s="32" t="s">
        <v>30</v>
      </c>
      <c r="C34" s="3">
        <v>2</v>
      </c>
      <c r="D34" s="31">
        <v>3</v>
      </c>
      <c r="E34" s="25">
        <v>0</v>
      </c>
      <c r="F34" s="3">
        <v>0</v>
      </c>
      <c r="G34" s="4">
        <f t="shared" si="0"/>
        <v>0</v>
      </c>
      <c r="H34" s="4">
        <f>G34/$Q$14</f>
        <v>0</v>
      </c>
      <c r="I34" s="4">
        <f>E34*H34*(1-$V$10*C34/($V$12-1)-$V$11*D34)</f>
        <v>0</v>
      </c>
      <c r="J34" s="3" t="str">
        <f t="shared" si="1"/>
        <v>=</v>
      </c>
      <c r="K34" s="4">
        <f t="shared" si="2"/>
        <v>0</v>
      </c>
    </row>
    <row r="35" spans="1:11" x14ac:dyDescent="0.2">
      <c r="A35" s="23">
        <v>26</v>
      </c>
      <c r="B35" s="32" t="s">
        <v>2</v>
      </c>
      <c r="C35" s="3">
        <v>2</v>
      </c>
      <c r="D35" s="31">
        <v>3</v>
      </c>
      <c r="E35" s="25">
        <v>1</v>
      </c>
      <c r="F35" s="3">
        <v>12</v>
      </c>
      <c r="G35" s="4">
        <f t="shared" si="0"/>
        <v>12</v>
      </c>
      <c r="H35" s="4">
        <f>G35/$Q$14</f>
        <v>1.7142857142857142</v>
      </c>
      <c r="I35" s="4">
        <f>E35*H35*(1-$V$10*C35/($V$12-1)-$V$11*D35)</f>
        <v>0</v>
      </c>
      <c r="J35" s="3" t="str">
        <f t="shared" si="1"/>
        <v>-</v>
      </c>
      <c r="K35" s="4">
        <f t="shared" si="2"/>
        <v>-1</v>
      </c>
    </row>
    <row r="36" spans="1:11" ht="16" thickBot="1" x14ac:dyDescent="0.25">
      <c r="A36" s="23">
        <v>27</v>
      </c>
      <c r="B36" s="33" t="s">
        <v>31</v>
      </c>
      <c r="C36" s="16">
        <v>2</v>
      </c>
      <c r="D36" s="34">
        <v>3</v>
      </c>
      <c r="E36" s="25">
        <v>0</v>
      </c>
      <c r="F36" s="3">
        <v>0</v>
      </c>
      <c r="G36" s="4">
        <f t="shared" si="0"/>
        <v>0</v>
      </c>
      <c r="H36" s="4">
        <f>G36/$Q$14</f>
        <v>0</v>
      </c>
      <c r="I36" s="4">
        <f>E36*H36*(1-$V$10*C36/($V$12-1)-$V$11*D36)</f>
        <v>0</v>
      </c>
      <c r="J36" s="3" t="str">
        <f t="shared" si="1"/>
        <v>=</v>
      </c>
      <c r="K36" s="4">
        <f t="shared" si="2"/>
        <v>0</v>
      </c>
    </row>
    <row r="37" spans="1:11" x14ac:dyDescent="0.2">
      <c r="I37" s="2"/>
    </row>
  </sheetData>
  <conditionalFormatting sqref="J10:J36">
    <cfRule type="cellIs" dxfId="2" priority="1" operator="equal">
      <formula>"+"</formula>
    </cfRule>
    <cfRule type="cellIs" dxfId="1" priority="2" operator="equal">
      <formula>"""+"""</formula>
    </cfRule>
  </conditionalFormatting>
  <conditionalFormatting sqref="K10:K36">
    <cfRule type="cellIs" dxfId="0" priority="4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Schema Theorem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</dc:creator>
  <cp:lastModifiedBy>Lino António Antunes Fernandes Costa</cp:lastModifiedBy>
  <cp:lastPrinted>2009-03-17T12:59:51Z</cp:lastPrinted>
  <dcterms:created xsi:type="dcterms:W3CDTF">2009-03-13T12:41:43Z</dcterms:created>
  <dcterms:modified xsi:type="dcterms:W3CDTF">2025-11-13T18:56:20Z</dcterms:modified>
</cp:coreProperties>
</file>